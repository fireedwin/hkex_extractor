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00673_CHINA_HEALTH_20250725.pdf</t>
        </is>
      </c>
    </row>
    <row r="5">
      <c r="A5" s="3" t="inlineStr">
        <is>
          <t>產生時間 Generated</t>
        </is>
      </c>
      <c r="B5" s="4" t="inlineStr">
        <is>
          <t>2026-08-30 21:49</t>
        </is>
      </c>
    </row>
    <row r="6">
      <c r="A6" s="4" t="inlineStr"/>
      <c r="B6" s="4" t="inlineStr"/>
    </row>
    <row r="7">
      <c r="A7" s="3" t="inlineStr">
        <is>
          <t>總頁數 Total pages</t>
        </is>
      </c>
      <c r="B7" s="4" t="n">
        <v>179</v>
      </c>
    </row>
    <row r="8">
      <c r="A8" s="3" t="inlineStr">
        <is>
          <t>已擷取字元 Characters extracted</t>
        </is>
      </c>
      <c r="B8" s="4" t="n">
        <v>372957</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5</v>
      </c>
    </row>
    <row r="13">
      <c r="A13" s="3" t="inlineStr">
        <is>
          <t>財務科目擷取筆數 Financial line items</t>
        </is>
      </c>
      <c r="B13" s="4" t="n">
        <v>20</v>
      </c>
    </row>
    <row r="14">
      <c r="A14" s="3" t="inlineStr">
        <is>
          <t>主題段落擷取筆數 Topic extracts</t>
        </is>
      </c>
      <c r="B14" s="4" t="n">
        <v>105</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114,620 − 131,965 = -17,345</t>
        </is>
      </c>
    </row>
    <row r="20">
      <c r="A20" s="6" t="inlineStr">
        <is>
          <t>✓ 收入 − 銷售成本 = 毛利</t>
        </is>
      </c>
      <c r="B20" s="4" t="inlineStr">
        <is>
          <t>38,943 − 29,708 = 9,235 vs 毛利 9,235</t>
        </is>
      </c>
    </row>
    <row r="21">
      <c r="A21" s="6" t="inlineStr">
        <is>
          <t>✓ 除稅前溢利 ± 稅項 = 年內溢利</t>
        </is>
      </c>
      <c r="B21" s="4" t="inlineStr">
        <is>
          <t>-67,378 + 443 = -67,821 vs -67,821</t>
        </is>
      </c>
    </row>
    <row r="22">
      <c r="A22" s="6" t="inlineStr">
        <is>
          <t>✓ 三大報表應相鄰</t>
        </is>
      </c>
      <c r="B22" s="4" t="inlineStr">
        <is>
          <t>Income Statement: p.84、Balance Sheet: p.86、Cash Flow: p.90(相距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12.6</v>
      </c>
      <c r="D5" s="10" t="n">
        <v>26.9</v>
      </c>
      <c r="E5" s="11" t="inlineStr">
        <is>
          <t>12.60% to 26.9%</t>
        </is>
      </c>
      <c r="F5" s="11" t="inlineStr">
        <is>
          <t>High</t>
        </is>
      </c>
      <c r="G5" s="11" t="inlineStr">
        <is>
          <t>PDF p.5 (印刷頁 4)</t>
        </is>
      </c>
      <c r="H5" s="11" t="inlineStr">
        <is>
          <t>nancial budgets approved by management covering a five-year period with pre-tax discount rates of ranging from 12.60% to 26.9% (2024: from 12.79% to 26.9%) per annum. Cash flows beyond the 5-year period are extrapolated with 2% (2024: 2%) growth rate. S</t>
        </is>
      </c>
    </row>
    <row r="6">
      <c r="A6" s="8" t="inlineStr">
        <is>
          <t>Discount Rate</t>
        </is>
      </c>
      <c r="B6" s="8" t="inlineStr">
        <is>
          <t>折現率</t>
        </is>
      </c>
      <c r="C6" s="9" t="n">
        <v>12.6</v>
      </c>
      <c r="D6" s="10" t="n">
        <v>12.6</v>
      </c>
      <c r="E6" s="11" t="inlineStr">
        <is>
          <t>12.60%</t>
        </is>
      </c>
      <c r="F6" s="11" t="inlineStr">
        <is>
          <t>High</t>
        </is>
      </c>
      <c r="G6" s="11" t="inlineStr">
        <is>
          <t>PDF p.122 (印刷頁 121)</t>
        </is>
      </c>
      <c r="H6" s="11" t="inlineStr">
        <is>
          <t>year period, based on financial budgets approved by the management with pre-tax discount rate of 12.60% (2024: 12.79%) per annum. Cash flows beyond the 5-year period are extrapolated with 2% (2024: 2%) growth rate. Other key assumptions for the value in</t>
        </is>
      </c>
    </row>
    <row r="7">
      <c r="A7" s="8" t="inlineStr">
        <is>
          <t>Discount Rate</t>
        </is>
      </c>
      <c r="B7" s="8" t="inlineStr">
        <is>
          <t>折現率</t>
        </is>
      </c>
      <c r="C7" s="9" t="n">
        <v>15.05</v>
      </c>
      <c r="D7" s="10" t="n">
        <v>15.05</v>
      </c>
      <c r="E7" s="11" t="inlineStr">
        <is>
          <t>15.05%</t>
        </is>
      </c>
      <c r="F7" s="11" t="inlineStr">
        <is>
          <t>High</t>
        </is>
      </c>
      <c r="G7" s="11" t="inlineStr">
        <is>
          <t>PDF p.123 (印刷頁 122)</t>
        </is>
      </c>
      <c r="H7" s="11" t="inlineStr">
        <is>
          <t>year period, based on financial budgets approved by the management with pre-tax discount rate of 15.05% (2024: 17.43%) per annum. Cash flows beyond the 5-year period are extrapolated with 2% (2024: 2%) growth rate. Other key assumptions for the value in</t>
        </is>
      </c>
    </row>
    <row r="8">
      <c r="A8" s="8" t="inlineStr">
        <is>
          <t>Discount Rate</t>
        </is>
      </c>
      <c r="B8" s="8" t="inlineStr">
        <is>
          <t>折現率</t>
        </is>
      </c>
      <c r="C8" s="9" t="n">
        <v>26.9</v>
      </c>
      <c r="D8" s="10" t="n">
        <v>26.9</v>
      </c>
      <c r="E8" s="11" t="inlineStr">
        <is>
          <t>26.9%</t>
        </is>
      </c>
      <c r="F8" s="11" t="inlineStr">
        <is>
          <t>High</t>
        </is>
      </c>
      <c r="G8" s="11" t="inlineStr">
        <is>
          <t>PDF p.123 (印刷頁 122)</t>
        </is>
      </c>
      <c r="H8" s="11" t="inlineStr">
        <is>
          <t>year period, based on financial budgets approved by the management with pre-tax discount rate of 26.9% (2024: 26.9%) per annum. Cash flows beyond the 5-year are extrapolated with 2% (2024: 2%) growth rate. Other key assumptions for the value in use calc</t>
        </is>
      </c>
    </row>
    <row r="9">
      <c r="A9" s="8" t="inlineStr">
        <is>
          <t>Expected Volatility</t>
        </is>
      </c>
      <c r="B9" s="8" t="inlineStr">
        <is>
          <t>預期波幅</t>
        </is>
      </c>
      <c r="C9" s="9" t="n">
        <v>76.40000000000001</v>
      </c>
      <c r="D9" s="10" t="n">
        <v>76.40000000000001</v>
      </c>
      <c r="E9" s="11" t="inlineStr">
        <is>
          <t>(%) 76.40</t>
        </is>
      </c>
      <c r="F9" s="11" t="inlineStr">
        <is>
          <t>Medium</t>
        </is>
      </c>
      <c r="G9" s="11" t="inlineStr">
        <is>
          <t>PDF p.149 (印刷頁 148)</t>
        </is>
      </c>
      <c r="H9" s="11" t="inlineStr">
        <is>
          <t>wing table lists the inputs to the model used: Option C Dividend yield (%) 0.00 Expected volatility (%) 76.404 Risk-free interest rate (%) 0.538 Expected life of option for director (years) 2.75 Expected life of option for employee (years) 2.2 Closing share 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2025 / 2024; Balance Sheet: 2025 / 2024; Cash Flow: 2025 / 2024</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38943</v>
      </c>
      <c r="D5" s="13" t="n">
        <v>59930</v>
      </c>
      <c r="E5" s="14">
        <f>IF(ISERROR((C5-D5)/ABS(D5)),"",(C5-D5)/ABS(D5))</f>
        <v>-0.3501918905389621</v>
      </c>
      <c r="F5" s="11" t="inlineStr">
        <is>
          <t>PDF p.84 (印刷頁 83)</t>
        </is>
      </c>
      <c r="G5" s="11" t="inlineStr">
        <is>
          <t>Revenue 7 38,943 59,930</t>
        </is>
      </c>
    </row>
    <row r="6">
      <c r="A6" s="8" t="inlineStr">
        <is>
          <t>Income Statement</t>
        </is>
      </c>
      <c r="B6" s="8" t="inlineStr">
        <is>
          <t>Cost of Sales</t>
        </is>
      </c>
      <c r="C6" s="12" t="n">
        <v>-29708</v>
      </c>
      <c r="D6" s="13" t="n">
        <v>-46292</v>
      </c>
      <c r="E6" s="14">
        <f>IF(ISERROR((C6-D6)/ABS(D6)),"",(C6-D6)/ABS(D6))</f>
        <v>0.3582476453814914</v>
      </c>
      <c r="F6" s="11" t="inlineStr">
        <is>
          <t>PDF p.84 (印刷頁 83)</t>
        </is>
      </c>
      <c r="G6" s="11" t="inlineStr">
        <is>
          <t>Cost of sales (29,708) (46,292)</t>
        </is>
      </c>
    </row>
    <row r="7">
      <c r="A7" s="8" t="inlineStr">
        <is>
          <t>Income Statement</t>
        </is>
      </c>
      <c r="B7" s="8" t="inlineStr">
        <is>
          <t>Gross Profit</t>
        </is>
      </c>
      <c r="C7" s="12" t="n">
        <v>9235</v>
      </c>
      <c r="D7" s="13" t="n">
        <v>13638</v>
      </c>
      <c r="E7" s="14">
        <f>IF(ISERROR((C7-D7)/ABS(D7)),"",(C7-D7)/ABS(D7))</f>
        <v>-0.32284792491567676</v>
      </c>
      <c r="F7" s="11" t="inlineStr">
        <is>
          <t>PDF p.84 (印刷頁 83)</t>
        </is>
      </c>
      <c r="G7" s="11" t="inlineStr">
        <is>
          <t>Gross profit 9,235 13,638</t>
        </is>
      </c>
    </row>
    <row r="8">
      <c r="A8" s="8" t="inlineStr">
        <is>
          <t>Income Statement</t>
        </is>
      </c>
      <c r="B8" s="8" t="inlineStr">
        <is>
          <t>Operating Profit</t>
        </is>
      </c>
      <c r="C8" s="12" t="n">
        <v>-67126</v>
      </c>
      <c r="D8" s="13" t="n">
        <v>-41967</v>
      </c>
      <c r="E8" s="14">
        <f>IF(ISERROR((C8-D8)/ABS(D8)),"",(C8-D8)/ABS(D8))</f>
        <v>-0.5994948411847404</v>
      </c>
      <c r="F8" s="11" t="inlineStr">
        <is>
          <t>PDF p.84 (印刷頁 83)</t>
        </is>
      </c>
      <c r="G8" s="11" t="inlineStr">
        <is>
          <t>OPERATING LOSS (67,126) (41,967)</t>
        </is>
      </c>
    </row>
    <row r="9">
      <c r="A9" s="8" t="inlineStr">
        <is>
          <t>Income Statement</t>
        </is>
      </c>
      <c r="B9" s="8" t="inlineStr">
        <is>
          <t>Finance Costs</t>
        </is>
      </c>
      <c r="C9" s="12" t="n">
        <v>-252</v>
      </c>
      <c r="D9" s="13" t="n">
        <v>-327</v>
      </c>
      <c r="E9" s="14">
        <f>IF(ISERROR((C9-D9)/ABS(D9)),"",(C9-D9)/ABS(D9))</f>
        <v>0.22935779816513763</v>
      </c>
      <c r="F9" s="11" t="inlineStr">
        <is>
          <t>PDF p.84 (印刷頁 83)</t>
        </is>
      </c>
      <c r="G9" s="11" t="inlineStr">
        <is>
          <t>Finance costs 9 (252) (327)</t>
        </is>
      </c>
    </row>
    <row r="10">
      <c r="A10" s="8" t="inlineStr">
        <is>
          <t>Income Statement</t>
        </is>
      </c>
      <c r="B10" s="8" t="inlineStr">
        <is>
          <t>Profit Before Tax</t>
        </is>
      </c>
      <c r="C10" s="12" t="n">
        <v>-67378</v>
      </c>
      <c r="D10" s="13" t="n">
        <v>-42294</v>
      </c>
      <c r="E10" s="14">
        <f>IF(ISERROR((C10-D10)/ABS(D10)),"",(C10-D10)/ABS(D10))</f>
        <v>-0.5930864898094292</v>
      </c>
      <c r="F10" s="11" t="inlineStr">
        <is>
          <t>PDF p.84 (印刷頁 83)</t>
        </is>
      </c>
      <c r="G10" s="11" t="inlineStr">
        <is>
          <t>LOSS BEFORE TAX 10 (67,378) (42,294)</t>
        </is>
      </c>
    </row>
    <row r="11">
      <c r="A11" s="8" t="inlineStr">
        <is>
          <t>Income Statement</t>
        </is>
      </c>
      <c r="B11" s="8" t="inlineStr">
        <is>
          <t>Income Tax</t>
        </is>
      </c>
      <c r="C11" s="12" t="n">
        <v>-443</v>
      </c>
      <c r="D11" s="13" t="n">
        <v>-203</v>
      </c>
      <c r="E11" s="14">
        <f>IF(ISERROR((C11-D11)/ABS(D11)),"",(C11-D11)/ABS(D11))</f>
        <v>-1.1822660098522169</v>
      </c>
      <c r="F11" s="11" t="inlineStr">
        <is>
          <t>PDF p.84 (印刷頁 83)</t>
        </is>
      </c>
      <c r="G11" s="11" t="inlineStr">
        <is>
          <t>Income tax expense 11 (443) (203)</t>
        </is>
      </c>
    </row>
    <row r="12">
      <c r="A12" s="8" t="inlineStr">
        <is>
          <t>Income Statement</t>
        </is>
      </c>
      <c r="B12" s="8" t="inlineStr">
        <is>
          <t>Profit for the Year</t>
        </is>
      </c>
      <c r="C12" s="12" t="n">
        <v>-67821</v>
      </c>
      <c r="D12" s="13" t="n">
        <v>-42497</v>
      </c>
      <c r="E12" s="14">
        <f>IF(ISERROR((C12-D12)/ABS(D12)),"",(C12-D12)/ABS(D12))</f>
        <v>-0.5959008871214438</v>
      </c>
      <c r="F12" s="11" t="inlineStr">
        <is>
          <t>PDF p.84 (印刷頁 83)</t>
        </is>
      </c>
      <c r="G12" s="11" t="inlineStr">
        <is>
          <t>LOSS FOR THE YEAR (67,821) (42,497)</t>
        </is>
      </c>
    </row>
    <row r="13">
      <c r="A13" s="8" t="inlineStr">
        <is>
          <t>Balance Sheet</t>
        </is>
      </c>
      <c r="B13" s="8" t="inlineStr">
        <is>
          <t>Property Plant and Equipment</t>
        </is>
      </c>
      <c r="C13" s="12" t="n">
        <v>17396</v>
      </c>
      <c r="D13" s="13" t="n">
        <v>18238</v>
      </c>
      <c r="E13" s="14">
        <f>IF(ISERROR((C13-D13)/ABS(D13)),"",(C13-D13)/ABS(D13))</f>
        <v>-0.04616734291040684</v>
      </c>
      <c r="F13" s="11" t="inlineStr">
        <is>
          <t>PDF p.86 (印刷頁 85)</t>
        </is>
      </c>
      <c r="G13" s="11" t="inlineStr">
        <is>
          <t>Property, plant and equipment 14 17,396 18,238</t>
        </is>
      </c>
    </row>
    <row r="14">
      <c r="A14" s="8" t="inlineStr">
        <is>
          <t>Balance Sheet</t>
        </is>
      </c>
      <c r="B14" s="8" t="inlineStr">
        <is>
          <t>Intangible Assets</t>
        </is>
      </c>
      <c r="C14" s="12" t="n">
        <v>249</v>
      </c>
      <c r="D14" s="13" t="n">
        <v>1073</v>
      </c>
      <c r="E14" s="14">
        <f>IF(ISERROR((C14-D14)/ABS(D14)),"",(C14-D14)/ABS(D14))</f>
        <v>-0.7679403541472507</v>
      </c>
      <c r="F14" s="11" t="inlineStr">
        <is>
          <t>PDF p.86 (印刷頁 85)</t>
        </is>
      </c>
      <c r="G14" s="11" t="inlineStr">
        <is>
          <t>Intangible assets 16 249 1,073</t>
        </is>
      </c>
    </row>
    <row r="15">
      <c r="A15" s="8" t="inlineStr">
        <is>
          <t>Balance Sheet</t>
        </is>
      </c>
      <c r="B15" s="8" t="inlineStr">
        <is>
          <t>Goodwill</t>
        </is>
      </c>
      <c r="C15" s="12" t="n">
        <v>13561</v>
      </c>
      <c r="D15" s="13" t="n">
        <v>25633</v>
      </c>
      <c r="E15" s="14">
        <f>IF(ISERROR((C15-D15)/ABS(D15)),"",(C15-D15)/ABS(D15))</f>
        <v>-0.47095540904303046</v>
      </c>
      <c r="F15" s="11" t="inlineStr">
        <is>
          <t>PDF p.86 (印刷頁 85)</t>
        </is>
      </c>
      <c r="G15" s="11" t="inlineStr">
        <is>
          <t>Goodwill 17 13,561 25,633</t>
        </is>
      </c>
    </row>
    <row r="16">
      <c r="A16" s="8" t="inlineStr">
        <is>
          <t>Balance Sheet</t>
        </is>
      </c>
      <c r="B16" s="8" t="inlineStr">
        <is>
          <t>Inventories</t>
        </is>
      </c>
      <c r="C16" s="12" t="n">
        <v>13536</v>
      </c>
      <c r="D16" s="13" t="n">
        <v>18595</v>
      </c>
      <c r="E16" s="14">
        <f>IF(ISERROR((C16-D16)/ABS(D16)),"",(C16-D16)/ABS(D16))</f>
        <v>-0.2720623823608497</v>
      </c>
      <c r="F16" s="11" t="inlineStr">
        <is>
          <t>PDF p.86 (印刷頁 85)</t>
        </is>
      </c>
      <c r="G16" s="11" t="inlineStr">
        <is>
          <t>Inventories 20 13,536 18,595</t>
        </is>
      </c>
    </row>
    <row r="17">
      <c r="A17" s="8" t="inlineStr">
        <is>
          <t>Balance Sheet</t>
        </is>
      </c>
      <c r="B17" s="8" t="inlineStr">
        <is>
          <t>Trade Receivables</t>
        </is>
      </c>
      <c r="C17" s="12" t="n">
        <v>21230</v>
      </c>
      <c r="D17" s="13" t="n">
        <v>30043</v>
      </c>
      <c r="E17" s="14">
        <f>IF(ISERROR((C17-D17)/ABS(D17)),"",(C17-D17)/ABS(D17))</f>
        <v>-0.29334620377458975</v>
      </c>
      <c r="F17" s="11" t="inlineStr">
        <is>
          <t>PDF p.86 (印刷頁 85)</t>
        </is>
      </c>
      <c r="G17" s="11" t="inlineStr">
        <is>
          <t>Trade receivables 21 21,230 30,043</t>
        </is>
      </c>
    </row>
    <row r="18">
      <c r="A18" s="8" t="inlineStr">
        <is>
          <t>Balance Sheet</t>
        </is>
      </c>
      <c r="B18" s="8" t="inlineStr">
        <is>
          <t>Cash and Equivalents</t>
        </is>
      </c>
      <c r="C18" s="12" t="n">
        <v>1048</v>
      </c>
      <c r="D18" s="13" t="n">
        <v>4013</v>
      </c>
      <c r="E18" s="14">
        <f>IF(ISERROR((C18-D18)/ABS(D18)),"",(C18-D18)/ABS(D18))</f>
        <v>-0.738848741589833</v>
      </c>
      <c r="F18" s="11" t="inlineStr">
        <is>
          <t>PDF p.86 (印刷頁 85)</t>
        </is>
      </c>
      <c r="G18" s="11" t="inlineStr">
        <is>
          <t>Cash and cash equivalents 23 1,048 4,013</t>
        </is>
      </c>
    </row>
    <row r="19">
      <c r="A19" s="8" t="inlineStr">
        <is>
          <t>Balance Sheet</t>
        </is>
      </c>
      <c r="B19" s="8" t="inlineStr">
        <is>
          <t>Borrowings</t>
        </is>
      </c>
      <c r="C19" s="12" t="n">
        <v>5418</v>
      </c>
      <c r="D19" s="13" t="n">
        <v>5508</v>
      </c>
      <c r="E19" s="14">
        <f>IF(ISERROR((C19-D19)/ABS(D19)),"",(C19-D19)/ABS(D19))</f>
        <v>-0.016339869281045753</v>
      </c>
      <c r="F19" s="11" t="inlineStr">
        <is>
          <t>PDF p.86 (印刷頁 85)</t>
        </is>
      </c>
      <c r="G19" s="11" t="inlineStr">
        <is>
          <t>Bank borrowings 30 5,418 5,508</t>
        </is>
      </c>
    </row>
    <row r="20">
      <c r="A20" s="8" t="inlineStr">
        <is>
          <t>Balance Sheet</t>
        </is>
      </c>
      <c r="B20" s="8" t="inlineStr">
        <is>
          <t>Total Equity</t>
        </is>
      </c>
      <c r="C20" s="12" t="n">
        <v>95</v>
      </c>
      <c r="D20" s="13" t="n">
        <v>59753</v>
      </c>
      <c r="E20" s="14">
        <f>IF(ISERROR((C20-D20)/ABS(D20)),"",(C20-D20)/ABS(D20))</f>
        <v>-0.9984101216675313</v>
      </c>
      <c r="F20" s="11" t="inlineStr">
        <is>
          <t>PDF p.87 (印刷頁 86)</t>
        </is>
      </c>
      <c r="G20" s="11" t="inlineStr">
        <is>
          <t>TOTAL EQUITY 95 59,753</t>
        </is>
      </c>
    </row>
    <row r="21">
      <c r="A21" s="8" t="inlineStr">
        <is>
          <t>Balance Sheet</t>
        </is>
      </c>
      <c r="B21" s="8" t="inlineStr">
        <is>
          <t>Total Current Assets</t>
        </is>
      </c>
      <c r="C21" s="12" t="n">
        <v>114620</v>
      </c>
      <c r="D21" s="13" t="n">
        <v>128983</v>
      </c>
      <c r="E21" s="14">
        <f>IF(ISERROR((C21-D21)/ABS(D21)),"",(C21-D21)/ABS(D21))</f>
        <v>-0.11135576006140344</v>
      </c>
      <c r="F21" s="11" t="inlineStr">
        <is>
          <t>PDF p.86 (印刷頁 85)</t>
        </is>
      </c>
      <c r="G21" s="11" t="inlineStr">
        <is>
          <t>[current assets 區段小計] 114,620 128,983</t>
        </is>
      </c>
    </row>
    <row r="22">
      <c r="A22" s="8" t="inlineStr">
        <is>
          <t>Balance Sheet</t>
        </is>
      </c>
      <c r="B22" s="8" t="inlineStr">
        <is>
          <t>Total Current Liabilities</t>
        </is>
      </c>
      <c r="C22" s="12" t="n">
        <v>131965</v>
      </c>
      <c r="D22" s="13" t="n">
        <v>112107</v>
      </c>
      <c r="E22" s="14">
        <f>IF(ISERROR((C22-D22)/ABS(D22)),"",(C22-D22)/ABS(D22))</f>
        <v>0.17713434486695745</v>
      </c>
      <c r="F22" s="11" t="inlineStr">
        <is>
          <t>PDF p.86 (印刷頁 85)</t>
        </is>
      </c>
      <c r="G22" s="11" t="inlineStr">
        <is>
          <t>[current liabilities 區段小計] 131,965 112,107</t>
        </is>
      </c>
    </row>
    <row r="23">
      <c r="A23" s="8" t="inlineStr">
        <is>
          <t>Cash Flow</t>
        </is>
      </c>
      <c r="B23" s="8" t="inlineStr">
        <is>
          <t>Capital Expenditure</t>
        </is>
      </c>
      <c r="C23" s="12" t="n">
        <v>-1589</v>
      </c>
      <c r="D23" s="13" t="n">
        <v>-624</v>
      </c>
      <c r="E23" s="14">
        <f>IF(ISERROR((C23-D23)/ABS(D23)),"",(C23-D23)/ABS(D23))</f>
        <v>-1.546474358974359</v>
      </c>
      <c r="F23" s="11" t="inlineStr">
        <is>
          <t>PDF p.91 (印刷頁 90)</t>
        </is>
      </c>
      <c r="G23" s="11" t="inlineStr">
        <is>
          <t>Purchase of property, plant and equipment (1,589) (624)</t>
        </is>
      </c>
    </row>
    <row r="24">
      <c r="A24" s="8" t="inlineStr">
        <is>
          <t>Cash Flow</t>
        </is>
      </c>
      <c r="B24" s="8" t="inlineStr">
        <is>
          <t>Investing Cash Flow</t>
        </is>
      </c>
      <c r="C24" s="12" t="n">
        <v>-1580</v>
      </c>
      <c r="D24" s="13" t="n">
        <v>-301</v>
      </c>
      <c r="E24" s="14">
        <f>IF(ISERROR((C24-D24)/ABS(D24)),"",(C24-D24)/ABS(D24))</f>
        <v>-4.249169435215947</v>
      </c>
      <c r="F24" s="11" t="inlineStr">
        <is>
          <t>PDF p.91 (印刷頁 90)</t>
        </is>
      </c>
      <c r="G24" s="11" t="inlineStr">
        <is>
          <t>Net cash used in investing activities (1,580) (301)</t>
        </is>
      </c>
    </row>
    <row r="26">
      <c r="A2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財務數據'!$C$5:$C$24,MATCH("Gross Profit",'Financials 財務數據'!$B$5:$B$24,0))/INDEX('Financials 財務數據'!$C$5:$C$24,MATCH("Revenue",'Financials 財務數據'!$B$5:$B$24,0))),"n/a",INDEX('Financials 財務數據'!$C$5:$C$24,MATCH("Gross Profit",'Financials 財務數據'!$B$5:$B$24,0))/INDEX('Financials 財務數據'!$C$5:$C$24,MATCH("Revenue",'Financials 財務數據'!$B$5:$B$24,0)))</f>
        <v>0.23714146316411164</v>
      </c>
      <c r="C5" s="15">
        <f>IF(ISERROR(INDEX('Financials 財務數據'!$D$5:$D$24,MATCH("Gross Profit",'Financials 財務數據'!$B$5:$B$24,0))/INDEX('Financials 財務數據'!$D$5:$D$24,MATCH("Revenue",'Financials 財務數據'!$B$5:$B$24,0))),"n/a",INDEX('Financials 財務數據'!$D$5:$D$24,MATCH("Gross Profit",'Financials 財務數據'!$B$5:$B$24,0))/INDEX('Financials 財務數據'!$D$5:$D$24,MATCH("Revenue",'Financials 財務數據'!$B$5:$B$24,0)))</f>
        <v>0.22756549307525448</v>
      </c>
      <c r="D5" s="2" t="inlineStr">
        <is>
          <t>毛利 ÷ 收入</t>
        </is>
      </c>
    </row>
    <row r="6">
      <c r="A6" s="4" t="inlineStr">
        <is>
          <t>Net Margin 淨利率</t>
        </is>
      </c>
      <c r="B6" s="15">
        <f>IF(ISERROR(INDEX('Financials 財務數據'!$C$5:$C$24,MATCH("Profit for the Year",'Financials 財務數據'!$B$5:$B$24,0))/INDEX('Financials 財務數據'!$C$5:$C$24,MATCH("Revenue",'Financials 財務數據'!$B$5:$B$24,0))),"n/a",INDEX('Financials 財務數據'!$C$5:$C$24,MATCH("Profit for the Year",'Financials 財務數據'!$B$5:$B$24,0))/INDEX('Financials 財務數據'!$C$5:$C$24,MATCH("Revenue",'Financials 財務數據'!$B$5:$B$24,0)))</f>
        <v>-1.741545335490332</v>
      </c>
      <c r="C6" s="15">
        <f>IF(ISERROR(INDEX('Financials 財務數據'!$D$5:$D$24,MATCH("Profit for the Year",'Financials 財務數據'!$B$5:$B$24,0))/INDEX('Financials 財務數據'!$D$5:$D$24,MATCH("Revenue",'Financials 財務數據'!$B$5:$B$24,0))),"n/a",INDEX('Financials 財務數據'!$D$5:$D$24,MATCH("Profit for the Year",'Financials 財務數據'!$B$5:$B$24,0))/INDEX('Financials 財務數據'!$D$5:$D$24,MATCH("Revenue",'Financials 財務數據'!$B$5:$B$24,0)))</f>
        <v>-0.7091106290672451</v>
      </c>
      <c r="D6" s="2" t="inlineStr">
        <is>
          <t>年內溢利 ÷ 收入</t>
        </is>
      </c>
    </row>
    <row r="7">
      <c r="A7" s="4" t="inlineStr">
        <is>
          <t>Current Ratio 流動比率</t>
        </is>
      </c>
      <c r="B7" s="16">
        <f>IF(ISERROR(INDEX('Financials 財務數據'!$C$5:$C$24,MATCH("Total Current Assets",'Financials 財務數據'!$B$5:$B$24,0))/INDEX('Financials 財務數據'!$C$5:$C$24,MATCH("Total Current Liabilities",'Financials 財務數據'!$B$5:$B$24,0))),"n/a",INDEX('Financials 財務數據'!$C$5:$C$24,MATCH("Total Current Assets",'Financials 財務數據'!$B$5:$B$24,0))/INDEX('Financials 財務數據'!$C$5:$C$24,MATCH("Total Current Liabilities",'Financials 財務數據'!$B$5:$B$24,0)))</f>
        <v>0.8685636342969727</v>
      </c>
      <c r="C7" s="16">
        <f>IF(ISERROR(INDEX('Financials 財務數據'!$D$5:$D$24,MATCH("Total Current Assets",'Financials 財務數據'!$B$5:$B$24,0))/INDEX('Financials 財務數據'!$D$5:$D$24,MATCH("Total Current Liabilities",'Financials 財務數據'!$B$5:$B$24,0))),"n/a",INDEX('Financials 財務數據'!$D$5:$D$24,MATCH("Total Current Assets",'Financials 財務數據'!$B$5:$B$24,0))/INDEX('Financials 財務數據'!$D$5:$D$24,MATCH("Total Current Liabilities",'Financials 財務數據'!$B$5:$B$24,0)))</f>
        <v>1.1505347569732487</v>
      </c>
      <c r="D7" s="2" t="inlineStr">
        <is>
          <t>流動資產 ÷ 流動負債</t>
        </is>
      </c>
    </row>
    <row r="8">
      <c r="A8" s="4" t="inlineStr">
        <is>
          <t>Debt / Equity 負債權益比</t>
        </is>
      </c>
      <c r="B8" s="16" t="str">
        <f>IF(ISERROR(INDEX('Financials 財務數據'!$C$5:$C$24,MATCH("Total Liabilities",'Financials 財務數據'!$B$5:$B$24,0))/INDEX('Financials 財務數據'!$C$5:$C$24,MATCH("Total Equity",'Financials 財務數據'!$B$5:$B$24,0))),"n/a",INDEX('Financials 財務數據'!$C$5:$C$24,MATCH("Total Liabilities",'Financials 財務數據'!$B$5:$B$24,0))/INDEX('Financials 財務數據'!$C$5:$C$24,MATCH("Total Equity",'Financials 財務數據'!$B$5:$B$24,0)))</f>
        <v>n/a</v>
      </c>
      <c r="C8" s="16" t="str">
        <f>IF(ISERROR(INDEX('Financials 財務數據'!$D$5:$D$24,MATCH("Total Liabilities",'Financials 財務數據'!$B$5:$B$24,0))/INDEX('Financials 財務數據'!$D$5:$D$24,MATCH("Total Equity",'Financials 財務數據'!$B$5:$B$24,0))),"n/a",INDEX('Financials 財務數據'!$D$5:$D$24,MATCH("Total Liabilities",'Financials 財務數據'!$B$5:$B$24,0))/INDEX('Financials 財務數據'!$D$5:$D$24,MATCH("Total Equity",'Financials 財務數據'!$B$5:$B$24,0)))</f>
        <v>n/a</v>
      </c>
      <c r="D8" s="2" t="inlineStr">
        <is>
          <t>總負債 ÷ 總權益</t>
        </is>
      </c>
    </row>
    <row r="9">
      <c r="A9" s="4" t="inlineStr">
        <is>
          <t>Goodwill / Total Assets</t>
        </is>
      </c>
      <c r="B9" s="15" t="str">
        <f>IF(ISERROR(INDEX('Financials 財務數據'!$C$5:$C$24,MATCH("Goodwill",'Financials 財務數據'!$B$5:$B$24,0))/INDEX('Financials 財務數據'!$C$5:$C$24,MATCH("Total Assets",'Financials 財務數據'!$B$5:$B$24,0))),"n/a",INDEX('Financials 財務數據'!$C$5:$C$24,MATCH("Goodwill",'Financials 財務數據'!$B$5:$B$24,0))/INDEX('Financials 財務數據'!$C$5:$C$24,MATCH("Total Assets",'Financials 財務數據'!$B$5:$B$24,0)))</f>
        <v>n/a</v>
      </c>
      <c r="C9" s="15" t="str">
        <f>IF(ISERROR(INDEX('Financials 財務數據'!$D$5:$D$24,MATCH("Goodwill",'Financials 財務數據'!$B$5:$B$24,0))/INDEX('Financials 財務數據'!$D$5:$D$24,MATCH("Total Assets",'Financials 財務數據'!$B$5:$B$24,0))),"n/a",INDEX('Financials 財務數據'!$D$5:$D$24,MATCH("Goodwill",'Financials 財務數據'!$B$5:$B$24,0))/INDEX('Financials 財務數據'!$D$5:$D$24,MATCH("Total Assets",'Financials 財務數據'!$B$5:$B$24,0)))</f>
        <v>n/a</v>
      </c>
      <c r="D9" s="2" t="inlineStr">
        <is>
          <t>商譽佔總資產比重 — 減值風險指標</t>
        </is>
      </c>
    </row>
    <row r="10">
      <c r="A10" s="4" t="inlineStr">
        <is>
          <t>Intangibles / Total Assets</t>
        </is>
      </c>
      <c r="B10" s="15" t="str">
        <f>IF(ISERROR(INDEX('Financials 財務數據'!$C$5:$C$24,MATCH("Intangible Assets",'Financials 財務數據'!$B$5:$B$24,0))/INDEX('Financials 財務數據'!$C$5:$C$24,MATCH("Total Assets",'Financials 財務數據'!$B$5:$B$24,0))),"n/a",INDEX('Financials 財務數據'!$C$5:$C$24,MATCH("Intangible Assets",'Financials 財務數據'!$B$5:$B$24,0))/INDEX('Financials 財務數據'!$C$5:$C$24,MATCH("Total Assets",'Financials 財務數據'!$B$5:$B$24,0)))</f>
        <v>n/a</v>
      </c>
      <c r="C10" s="15" t="str">
        <f>IF(ISERROR(INDEX('Financials 財務數據'!$D$5:$D$24,MATCH("Intangible Assets",'Financials 財務數據'!$B$5:$B$24,0))/INDEX('Financials 財務數據'!$D$5:$D$24,MATCH("Total Assets",'Financials 財務數據'!$B$5:$B$24,0))),"n/a",INDEX('Financials 財務數據'!$D$5:$D$24,MATCH("Intangible Assets",'Financials 財務數據'!$B$5:$B$24,0))/INDEX('Financials 財務數據'!$D$5:$D$24,MATCH("Total Assets",'Financials 財務數據'!$B$5:$B$24,0)))</f>
        <v>n/a</v>
      </c>
      <c r="D10" s="2" t="inlineStr">
        <is>
          <t>無形資產佔比</t>
        </is>
      </c>
    </row>
    <row r="11">
      <c r="A11" s="4" t="inlineStr">
        <is>
          <t>ROE 股本回報率</t>
        </is>
      </c>
      <c r="B11" s="15">
        <f>IF(ISERROR(INDEX('Financials 財務數據'!$C$5:$C$24,MATCH("Profit for the Year",'Financials 財務數據'!$B$5:$B$24,0))/INDEX('Financials 財務數據'!$C$5:$C$24,MATCH("Total Equity",'Financials 財務數據'!$B$5:$B$24,0))),"n/a",INDEX('Financials 財務數據'!$C$5:$C$24,MATCH("Profit for the Year",'Financials 財務數據'!$B$5:$B$24,0))/INDEX('Financials 財務數據'!$C$5:$C$24,MATCH("Total Equity",'Financials 財務數據'!$B$5:$B$24,0)))</f>
        <v>-713.9052631578948</v>
      </c>
      <c r="C11" s="15">
        <f>IF(ISERROR(INDEX('Financials 財務數據'!$D$5:$D$24,MATCH("Profit for the Year",'Financials 財務數據'!$B$5:$B$24,0))/INDEX('Financials 財務數據'!$D$5:$D$24,MATCH("Total Equity",'Financials 財務數據'!$B$5:$B$24,0))),"n/a",INDEX('Financials 財務數據'!$D$5:$D$24,MATCH("Profit for the Year",'Financials 財務數據'!$B$5:$B$24,0))/INDEX('Financials 財務數據'!$D$5:$D$24,MATCH("Total Equity",'Financials 財務數據'!$B$5:$B$24,0)))</f>
        <v>-0.7112111525781132</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59930</v>
      </c>
      <c r="C5" s="18" t="n">
        <v>38943</v>
      </c>
    </row>
    <row r="6">
      <c r="A6" s="4" t="inlineStr">
        <is>
          <t>Gross Profit</t>
        </is>
      </c>
      <c r="B6" s="18" t="n">
        <v>13638</v>
      </c>
      <c r="C6" s="18" t="n">
        <v>9235</v>
      </c>
    </row>
    <row r="7">
      <c r="A7" s="4" t="inlineStr">
        <is>
          <t>Profit Before Tax</t>
        </is>
      </c>
      <c r="B7" s="18" t="n">
        <v>-42294</v>
      </c>
      <c r="C7" s="18" t="n">
        <v>-67378</v>
      </c>
    </row>
    <row r="8">
      <c r="A8" s="4" t="inlineStr">
        <is>
          <t>Profit for the Year</t>
        </is>
      </c>
      <c r="B8" s="18" t="n">
        <v>-42497</v>
      </c>
      <c r="C8" s="18" t="n">
        <v>-67821</v>
      </c>
    </row>
    <row r="9">
      <c r="A9" s="4" t="inlineStr">
        <is>
          <t>Total Equity</t>
        </is>
      </c>
      <c r="B9" s="18" t="n">
        <v>59753</v>
      </c>
      <c r="C9" s="18" t="n">
        <v>95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0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independent valuer</t>
        </is>
      </c>
      <c r="E4" s="11" t="inlineStr">
        <is>
          <t>PDF p.8 (印刷頁 7)</t>
        </is>
      </c>
      <c r="F4" s="11" t="inlineStr">
        <is>
          <t>rsuant to the Cross-Default Clause, in the event that a cross-default event occurs, Ever True and Long Heng shall jointly appoint an independent valuer for valuation of of Jinmei Group, and the consideration shall be revised to the amount of such valuation or HK$146 million, whichever is lower. The revised consideration shall be payable at a time to be agreed between the parties but in any event no later than the maturity date under the Jinmei Agreement. The Company and Ever True engaged in negotiations regarding the appointmen</t>
        </is>
      </c>
    </row>
    <row r="5">
      <c r="A5" s="8" t="inlineStr">
        <is>
          <t>Fair Value Measurement</t>
        </is>
      </c>
      <c r="B5" s="8" t="inlineStr">
        <is>
          <t>公允價值計量</t>
        </is>
      </c>
      <c r="C5" s="19" t="inlineStr">
        <is>
          <t>high</t>
        </is>
      </c>
      <c r="D5" s="11" t="inlineStr">
        <is>
          <t>fair value hierarchy</t>
        </is>
      </c>
      <c r="E5" s="11" t="inlineStr">
        <is>
          <t>PDF p.101 (印刷頁 100)</t>
        </is>
      </c>
      <c r="F5" s="11" t="inlineStr">
        <is>
          <t>00) respectively. This is mainly attributable to the Group’s interest rates on its variable-rate bank borrowings. 4.3 Fair value and fair value hierarchy Fair value of financial assets and liabilities carried at other than fair value The directors consider that the carrying amounts of financial assets and financial liabilities recorded at amortised cost approximate to their fair values. 100</t>
        </is>
      </c>
    </row>
    <row r="6">
      <c r="A6" s="8" t="inlineStr">
        <is>
          <t>Fair Value Measurement</t>
        </is>
      </c>
      <c r="B6" s="8" t="inlineStr">
        <is>
          <t>公允價值計量</t>
        </is>
      </c>
      <c r="C6" s="19" t="inlineStr">
        <is>
          <t>high</t>
        </is>
      </c>
      <c r="D6" s="11" t="inlineStr">
        <is>
          <t>fair value hierarchy</t>
        </is>
      </c>
      <c r="E6" s="11" t="inlineStr">
        <is>
          <t>PDF p.102 (印刷頁 101)</t>
        </is>
      </c>
      <c r="F6" s="11" t="inlineStr">
        <is>
          <t>nts (Continued) For the year ended 31 March 2025 4. FINANCIAL RISK MANAGEMENT OBJECTIVES AND POLICIES (Continued) 4.3 Fair value and fair value hierarchy (Continued) Fair value of the Group’s financial liabilities that are measured at fair value on a recurring basis Some of the Group’s financial liabilities are measured at fair value at the end of each reporting period. The following table gives information about how the fair values of these financial liabilities are determined (in particular, the valuation technique(s) and inp</t>
        </is>
      </c>
    </row>
    <row r="7">
      <c r="A7" s="8" t="inlineStr">
        <is>
          <t>Fair Value Measurement</t>
        </is>
      </c>
      <c r="B7" s="8" t="inlineStr">
        <is>
          <t>公允價值計量</t>
        </is>
      </c>
      <c r="C7" s="19" t="inlineStr">
        <is>
          <t>high</t>
        </is>
      </c>
      <c r="D7" s="11" t="inlineStr">
        <is>
          <t>fair value hierarchy</t>
        </is>
      </c>
      <c r="E7" s="11" t="inlineStr">
        <is>
          <t>PDF p.103 (印刷頁 102)</t>
        </is>
      </c>
      <c r="F7" s="11" t="inlineStr">
        <is>
          <t>nts (Continued) For the year ended 31 March 2025 4. FINANCIAL RISK MANAGEMENT OBJECTIVES AND POLICIES (Continued) 4.3 Fair value and fair value hierarchy (Continued) Fair value of the Group’s financial liabilities that are measured at fair value on a recurring basis (Continued) Information about level 3 fair value measurement Relation of significant unobservable input Financial liabilities Valuation technique Significant unobservable input to fair value Contingent consideration Monte Carlo Simulation method Expected net profit</t>
        </is>
      </c>
    </row>
    <row r="8">
      <c r="A8" s="8" t="inlineStr">
        <is>
          <t>Fair Value Measurement</t>
        </is>
      </c>
      <c r="B8" s="8" t="inlineStr">
        <is>
          <t>公允價值計量</t>
        </is>
      </c>
      <c r="C8" s="19" t="inlineStr">
        <is>
          <t>high</t>
        </is>
      </c>
      <c r="D8" s="11" t="inlineStr">
        <is>
          <t>valuation technique</t>
        </is>
      </c>
      <c r="E8" s="11" t="inlineStr">
        <is>
          <t>PDF p.104 (印刷頁 103)</t>
        </is>
      </c>
      <c r="F8" s="11" t="inlineStr">
        <is>
          <t>alue of certain financial assets The fair value of financial instruments that are not traded in an active market is determined using valuation techniques. The Group uses its judgement to select a variety of methods and make assumptions that are mainly based on market conditions existing at the end of each reporting period. For details of the key assumptions used and the impact of changes to these assumptions see Note 4.3. (b) Estimation of goodwill impairment The group tests goodwill for impairment on an annual basis. For the 2</t>
        </is>
      </c>
    </row>
    <row r="9">
      <c r="A9" s="8" t="inlineStr">
        <is>
          <t>Fair Value Measurement</t>
        </is>
      </c>
      <c r="B9" s="8" t="inlineStr">
        <is>
          <t>公允價值計量</t>
        </is>
      </c>
      <c r="C9" s="19" t="inlineStr">
        <is>
          <t>high</t>
        </is>
      </c>
      <c r="D9" s="11" t="inlineStr">
        <is>
          <t>independent valuer</t>
        </is>
      </c>
      <c r="E9" s="11" t="inlineStr">
        <is>
          <t>PDF p.122 (印刷頁 121)</t>
        </is>
      </c>
      <c r="F9" s="11" t="inlineStr">
        <is>
          <t>mount of the hospital management business CGU has been determined based on a value in use calculation and based on a valuation by an independent valuer. That calculation adopted cash flow projections covering a 5-year period, based on financial budgets approved by the management with pre-tax discount rate of 12.60% (2024: 12.79%) per annum. Cash flows beyond the 5-year period are extrapolated with 2% (2024: 2%) growth rate. Other key assumptions for the value in use calculations relate to the estimation of cash inflows/outflows</t>
        </is>
      </c>
    </row>
    <row r="10">
      <c r="A10" s="8" t="inlineStr">
        <is>
          <t>Fair Value Measurement</t>
        </is>
      </c>
      <c r="B10" s="8" t="inlineStr">
        <is>
          <t>公允價值計量</t>
        </is>
      </c>
      <c r="C10" s="19" t="inlineStr">
        <is>
          <t>high</t>
        </is>
      </c>
      <c r="D10" s="11" t="inlineStr">
        <is>
          <t>independent valuer</t>
        </is>
      </c>
      <c r="E10" s="11" t="inlineStr">
        <is>
          <t>PDF p.123 (印刷頁 122)</t>
        </is>
      </c>
      <c r="F10" s="11" t="inlineStr">
        <is>
          <t>d development and sale of functional food CGU has been determined based on a value in use calculation and based on a valuation by an independent valuer. That calculation adopted cash flow projections covering a 5-year period, based on financial budgets approved by the management with pre-tax discount rate of 26.9% (2024: 26.9%) per annum. Cash flows beyond the 5-year are extrapolated with 2% (2024: 2%) growth rate. Other key assumptions for the value in use calculations relate to the estimation of cash inflows/outflows which in</t>
        </is>
      </c>
    </row>
    <row r="11">
      <c r="A11" s="8" t="inlineStr">
        <is>
          <t>Impairment Testing</t>
        </is>
      </c>
      <c r="B11" s="8" t="inlineStr">
        <is>
          <t>減值測試</t>
        </is>
      </c>
      <c r="C11" s="19" t="inlineStr">
        <is>
          <t>high</t>
        </is>
      </c>
      <c r="D11" s="11" t="inlineStr">
        <is>
          <t>impairment loss</t>
        </is>
      </c>
      <c r="E11" s="11" t="inlineStr">
        <is>
          <t>PDF p.5 (印刷頁 4)</t>
        </is>
      </c>
      <c r="F11" s="11" t="inlineStr">
        <is>
          <t>loan and interest receivables based on historical credit loss experience of the debtors. For the year ended 31 March 2025, there was impairment loss recognised on expected credit loss (“ECL”) on loan and interest receivables of approximately HK$11.7 million (2024: HK$17.7 million). An impairment analysis is performed at each reporting date using the probability of default approach to measure ECL pursuant to HKFRS 9 Financial Instruments. The probabilities of default are estimated based on comparable companies with published cre</t>
        </is>
      </c>
    </row>
    <row r="12">
      <c r="A12" s="8" t="inlineStr">
        <is>
          <t>Impairment Testing</t>
        </is>
      </c>
      <c r="B12" s="8" t="inlineStr">
        <is>
          <t>減值測試</t>
        </is>
      </c>
      <c r="C12" s="19" t="inlineStr">
        <is>
          <t>high</t>
        </is>
      </c>
      <c r="D12" s="11" t="inlineStr">
        <is>
          <t>recoverable amount</t>
        </is>
      </c>
      <c r="E12" s="11" t="inlineStr">
        <is>
          <t>PDF p.82 (印刷頁 81)</t>
        </is>
      </c>
      <c r="F12" s="11" t="inlineStr">
        <is>
          <t>ue to operate as a going concern, adjustments would have to be made to write down the carrying values of the Group’s assets to their recoverable amounts, to provide for any further liabilities which might arise, and to reclassify non-current assets and non-current liabilities as current assets and current liabilities, respectively. The effects of these adjustments have not been reflected in these consolidated financial statements. In the absence of sufficient appropriate audit evidence of the above, we were unable to ascertain</t>
        </is>
      </c>
    </row>
    <row r="13">
      <c r="A13" s="8" t="inlineStr">
        <is>
          <t>Impairment Testing</t>
        </is>
      </c>
      <c r="B13" s="8" t="inlineStr">
        <is>
          <t>減值測試</t>
        </is>
      </c>
      <c r="C13" s="19" t="inlineStr">
        <is>
          <t>high</t>
        </is>
      </c>
      <c r="D13" s="11" t="inlineStr">
        <is>
          <t>impairment loss</t>
        </is>
      </c>
      <c r="E13" s="11" t="inlineStr">
        <is>
          <t>PDF p.84 (印刷頁 83)</t>
        </is>
      </c>
      <c r="F13" s="11" t="inlineStr">
        <is>
          <t>59,930 Cost of sales (29,708) (46,292) Gross profit 9,235 13,638 Other income 8 16,689 39,085 Other loss, net 8 (6,575) (24,689) Net impairment loss of financial assets (17,642) (18,435) Selling and distribution expenses (6,138) (17,768) Administrative expenses (62,695) (33,798) OPERATING LOSS (67,126) (41,967) Finance costs 9 (252) (327) LOSS BEFORE TAX 10 (67,378) (42,294) Income tax expense 11 (443) (203) LOSS FOR THE YEAR (67,821) (42,497) Loss for the year attributable to: Owners of the Company (67,790) (40,187) Non-contro</t>
        </is>
      </c>
    </row>
    <row r="14">
      <c r="A14" s="8" t="inlineStr">
        <is>
          <t>Impairment Testing</t>
        </is>
      </c>
      <c r="B14" s="8" t="inlineStr">
        <is>
          <t>減值測試</t>
        </is>
      </c>
      <c r="C14" s="19" t="inlineStr">
        <is>
          <t>high</t>
        </is>
      </c>
      <c r="D14" s="11" t="inlineStr">
        <is>
          <t>impairment loss</t>
        </is>
      </c>
      <c r="E14" s="11" t="inlineStr">
        <is>
          <t>PDF p.90 (印刷頁 89)</t>
        </is>
      </c>
      <c r="F14" s="11" t="inlineStr">
        <is>
          <t>Finance costs 252 327 Depreciation of property, plant and equipment 2,136 2,832 Depreciation of right-of-use assets 1,016 1,677 Net impairment loss of financial assets 17,642 18,435 Amortisation of intangible assets 260 39 Impairment loss recognised on non-financial assets 13,333 14,467 Loss on acquisition of subsidiaries – 313 Gain on disposal of subsidiaries – (3,311) Provision of litigation expenses 35,616 – Reversal of other payables and accrued expenses (16,306) (31,200) Written off of property, plant and equipment 13 125</t>
        </is>
      </c>
    </row>
    <row r="15">
      <c r="A15" s="8" t="inlineStr">
        <is>
          <t>Impairment Testing</t>
        </is>
      </c>
      <c r="B15" s="8" t="inlineStr">
        <is>
          <t>減值測試</t>
        </is>
      </c>
      <c r="C15" s="19" t="inlineStr">
        <is>
          <t>high</t>
        </is>
      </c>
      <c r="D15" s="11" t="inlineStr">
        <is>
          <t>recoverable amount</t>
        </is>
      </c>
      <c r="E15" s="11" t="inlineStr">
        <is>
          <t>PDF p.93 (印刷頁 92)</t>
        </is>
      </c>
      <c r="F15" s="11" t="inlineStr">
        <is>
          <t>be unable to operate as a going concern, adjustments would have to be made to write down the carrying amounts of the assets to their recoverable amounts, to provide for any further liabilities that may arise and to reclassify non-current assets and non-current liabilities as current assets and current liabilities respectively. The effects of these adjustments have not been reflected in the consolidated financial statements of the Group for the year ended 31 March 2025. 3. BASIS OF PREPARATION These consolidated financial statem</t>
        </is>
      </c>
    </row>
    <row r="16">
      <c r="A16" s="8" t="inlineStr">
        <is>
          <t>Impairment Testing</t>
        </is>
      </c>
      <c r="B16" s="8" t="inlineStr">
        <is>
          <t>減值測試</t>
        </is>
      </c>
      <c r="C16" s="19" t="inlineStr">
        <is>
          <t>high</t>
        </is>
      </c>
      <c r="D16" s="11" t="inlineStr">
        <is>
          <t>impairment loss</t>
        </is>
      </c>
      <c r="E16" s="11" t="inlineStr">
        <is>
          <t>PDF p.96 (印刷頁 95)</t>
        </is>
      </c>
      <c r="F16" s="11" t="inlineStr">
        <is>
          <t>tion about the counterparties’ default rates and financial position of the counterparties. The directors are of the opinion that the impairment loss on expected credit loss of other receivables was approximately HK$5,945,000 (2024: impairment loss reversal of HK$34,000). The average expected loss rate of deposits and other receivables is 13.18% (2024: 1.26%). 95</t>
        </is>
      </c>
    </row>
    <row r="17">
      <c r="A17" s="8" t="inlineStr">
        <is>
          <t>Impairment Testing</t>
        </is>
      </c>
      <c r="B17" s="8" t="inlineStr">
        <is>
          <t>減值測試</t>
        </is>
      </c>
      <c r="C17" s="19" t="inlineStr">
        <is>
          <t>high</t>
        </is>
      </c>
      <c r="D17" s="11" t="inlineStr">
        <is>
          <t>impairment loss</t>
        </is>
      </c>
      <c r="E17" s="11" t="inlineStr">
        <is>
          <t>PDF p.97 (印刷頁 96)</t>
        </is>
      </c>
      <c r="F17" s="11" t="inlineStr">
        <is>
          <t>the directors of the Company review the recoverable amount of each individual trade debt and loan regularly to ensure that adequate impairment losses are recognised for irrecoverable debts. In this regard, the directors of the Company consider that the Group’s credit risk is significantly reduced. The Group’s internal credit risk grading assessment comprises the following categories: Internal credit rating Description Trade receivables Other financial assets Performing The counterparty has a low risk of default Lifetime ECL –</t>
        </is>
      </c>
    </row>
    <row r="18">
      <c r="A18" s="8" t="inlineStr">
        <is>
          <t>Impairment Testing</t>
        </is>
      </c>
      <c r="B18" s="8" t="inlineStr">
        <is>
          <t>減值測試</t>
        </is>
      </c>
      <c r="C18" s="19" t="inlineStr">
        <is>
          <t>high</t>
        </is>
      </c>
      <c r="D18" s="11" t="inlineStr">
        <is>
          <t>impairment test</t>
        </is>
      </c>
      <c r="E18" s="11" t="inlineStr">
        <is>
          <t>PDF p.104 (印刷頁 103)</t>
        </is>
      </c>
      <c r="F18" s="11" t="inlineStr">
        <is>
          <t>luding the discount rates or the growth rate in the cash flow projections, could materially affect the net present value used in the impairment test. 103</t>
        </is>
      </c>
    </row>
    <row r="19">
      <c r="A19" s="8" t="inlineStr">
        <is>
          <t>Impairment Testing</t>
        </is>
      </c>
      <c r="B19" s="8" t="inlineStr">
        <is>
          <t>減值測試</t>
        </is>
      </c>
      <c r="C19" s="19" t="inlineStr">
        <is>
          <t>high</t>
        </is>
      </c>
      <c r="D19" s="11" t="inlineStr">
        <is>
          <t>impairment loss</t>
        </is>
      </c>
      <c r="E19" s="11" t="inlineStr">
        <is>
          <t>PDF p.108 (印刷頁 107)</t>
        </is>
      </c>
      <c r="F19" s="11" t="inlineStr">
        <is>
          <t>dditions to non-current assets (other than prepayment) 396 2,515 386 – – 3,297 Amortisation of intangible assets – – – 260 – 260 Net impairment loss of financial assets 880 (147) 10,472 536 5,901 17,642 Depreciation of property, plant and equipment 36 2,091 9 – – 2,136 Depreciation of right-of-use assets 241 656 119 – – 1,016 107</t>
        </is>
      </c>
    </row>
    <row r="20">
      <c r="A20" s="8" t="inlineStr">
        <is>
          <t>Impairment Testing</t>
        </is>
      </c>
      <c r="B20" s="8" t="inlineStr">
        <is>
          <t>減值測試</t>
        </is>
      </c>
      <c r="C20" s="19" t="inlineStr">
        <is>
          <t>high</t>
        </is>
      </c>
      <c r="D20" s="11" t="inlineStr">
        <is>
          <t>impairment loss</t>
        </is>
      </c>
      <c r="E20" s="11" t="inlineStr">
        <is>
          <t>PDF p.109 (印刷頁 108)</t>
        </is>
      </c>
      <c r="F20" s="11" t="inlineStr">
        <is>
          <t>itions to non-current assets (other than prepayment) 408 573 – 3,998 1,268 6,247 Amortisation of intangible assets – – – 39 – 39 Net impairment loss of financial assets (97) 107 8,110 26 10,289 18,435 Depreciation of property, plant and equipment 27 2,272 8 – 525 2,832 Depreciation of right-of-use assets 178 657 252 – 590 1,677 Geographical information The Group’s revenue were derived from the PRC and over 90% (2024: 90%) of the Group’s non-current assets (excluded prepayment) were located in the PRC for both years, no geograph</t>
        </is>
      </c>
    </row>
    <row r="21">
      <c r="A21" s="8" t="inlineStr">
        <is>
          <t>Impairment Testing</t>
        </is>
      </c>
      <c r="B21" s="8" t="inlineStr">
        <is>
          <t>減值測試</t>
        </is>
      </c>
      <c r="C21" s="19" t="inlineStr">
        <is>
          <t>high</t>
        </is>
      </c>
      <c r="D21" s="11" t="inlineStr">
        <is>
          <t>impairment loss</t>
        </is>
      </c>
      <c r="E21" s="11" t="inlineStr">
        <is>
          <t>PDF p.112 (印刷頁 111)</t>
        </is>
      </c>
      <c r="F21" s="11" t="inlineStr">
        <is>
          <t>on (Note 29) 5,171 (13,856) Gain on disposal of subsidiaries (Note 36) – 3,311 Loss on acquisition of subsidiaries (Note 35) – (313) Impairment loss recognised in respect of goodwill (Note 17) (11,746) (13,831) (6,575) (24,689) Note: (a) During the year ended 31 March 2025, the Group recognised government grants of approximately HK$137,000 (2024: HK$465,000) from PRC government for employment support. There were no unfulfilled conditions or contingencies relating to these government grants. 111</t>
        </is>
      </c>
    </row>
    <row r="22">
      <c r="A22" s="8" t="inlineStr">
        <is>
          <t>Impairment Testing</t>
        </is>
      </c>
      <c r="B22" s="8" t="inlineStr">
        <is>
          <t>減值測試</t>
        </is>
      </c>
      <c r="C22" s="19" t="inlineStr">
        <is>
          <t>high</t>
        </is>
      </c>
      <c r="D22" s="11" t="inlineStr">
        <is>
          <t>impairment loss</t>
        </is>
      </c>
      <c r="E22" s="11" t="inlineStr">
        <is>
          <t>PDF p.113 (印刷頁 112)</t>
        </is>
      </c>
      <c r="F22" s="11" t="inlineStr">
        <is>
          <t>on for audit services 950 880 Auditor’s remuneration for non-audit services – 308 Amortisation of intangible assets (Note 16) 260 39 Impairment loss recognised on intangible assets (Note 16) 566 – Depreciation of right-of-use assets (Note 15) 1,016 1,677 Impairment loss recognised on right-of-use assets (Note 15) 1,021 636 Depreciation of property, plant and equipment (Note 14) 2,136 2,832 Expenses related to short-term leases 966 922 Written off of property, plant and equipment 13 125 Provision for litigation expenses 35,616 –</t>
        </is>
      </c>
    </row>
    <row r="23">
      <c r="A23" s="8" t="inlineStr">
        <is>
          <t>Impairment Testing</t>
        </is>
      </c>
      <c r="B23" s="8" t="inlineStr">
        <is>
          <t>減值測試</t>
        </is>
      </c>
      <c r="C23" s="19" t="inlineStr">
        <is>
          <t>high</t>
        </is>
      </c>
      <c r="D23" s="11" t="inlineStr">
        <is>
          <t>impairment loss</t>
        </is>
      </c>
      <c r="E23" s="11" t="inlineStr">
        <is>
          <t>PDF p.120 (印刷頁 119)</t>
        </is>
      </c>
      <c r="F23" s="11" t="inlineStr">
        <is>
          <t>K$’000 HK$’000 Accumulated depreciation and impairment: As at 1 April 2023 193 299 3,522 4,014 Charged for the year 54 966 657 1,677 Impairment loss recognised – 636 – 636 Disposal of subsidiaries (Note 36) – (1,173) – (1,173) Termination of leases – (105) – (105) Exchange realignment (7) (9) (124) (140) As at 31 March 2024 and 1 April 2024 240 614 4,055 4,909 Charges for the year 54 636 326 1,016 Impairment loss recognised – 1,021 – 1,021 Exchange realignment (4) (25) (68) (97) As at 31 March 2025 290 2,246 4,313 6,849 Carryin</t>
        </is>
      </c>
    </row>
    <row r="24">
      <c r="A24" s="8" t="inlineStr">
        <is>
          <t>Impairment Testing</t>
        </is>
      </c>
      <c r="B24" s="8" t="inlineStr">
        <is>
          <t>減值測試</t>
        </is>
      </c>
      <c r="C24" s="19" t="inlineStr">
        <is>
          <t>high</t>
        </is>
      </c>
      <c r="D24" s="11" t="inlineStr">
        <is>
          <t>impairment loss</t>
        </is>
      </c>
      <c r="E24" s="11" t="inlineStr">
        <is>
          <t>PDF p.121 (印刷頁 120)</t>
        </is>
      </c>
      <c r="F24" s="11" t="inlineStr">
        <is>
          <t>ril 2023 – Amortised for the year 39 Exchange realignment 8 As at 31 March 2024 and as at 1 April 2024 47 Amortised for the year 260 Impairment loss recognised 566 Exchange alliance (7) As at March 2025 866 Patent HK$’000 Carrying amounts: As at 31 March 2025 249 As at 31 March 2024 1,073 The above intangible assets have finite useful lives and the patent expire date is 6 June 2036. 120</t>
        </is>
      </c>
    </row>
    <row r="25">
      <c r="A25" s="8" t="inlineStr">
        <is>
          <t>Impairment Testing</t>
        </is>
      </c>
      <c r="B25" s="8" t="inlineStr">
        <is>
          <t>減值測試</t>
        </is>
      </c>
      <c r="C25" s="19" t="inlineStr">
        <is>
          <t>high</t>
        </is>
      </c>
      <c r="D25" s="11" t="inlineStr">
        <is>
          <t>impairment loss</t>
        </is>
      </c>
      <c r="E25" s="11" t="inlineStr">
        <is>
          <t>PDF p.122 (印刷頁 121)</t>
        </is>
      </c>
      <c r="F25" s="11" t="inlineStr">
        <is>
          <t>ies (Note 35) – 2,890 Exchange realignment (646) (1,278) As at 31 March 38,846 39,492 Accumulated impairment: As at 1 April 13,859 – Impairment loss recognised 11,746 13,831 Exchange realignment (320) 28 As at 31 March 25,285 13,859 Carrying amounts 13,561 25,633 Goodwill is allocated to the Group’s CGUs identified according to business segments (net of impairment) as follows: 2025 2024 HK$’000 HK$’000 Hospital operation and management service – 8,890 Distribution and service in medical equipment and consumables 13,561 13,787 R</t>
        </is>
      </c>
    </row>
    <row r="26">
      <c r="A26" s="8" t="inlineStr">
        <is>
          <t>Impairment Testing</t>
        </is>
      </c>
      <c r="B26" s="8" t="inlineStr">
        <is>
          <t>減值測試</t>
        </is>
      </c>
      <c r="C26" s="19" t="inlineStr">
        <is>
          <t>high</t>
        </is>
      </c>
      <c r="D26" s="11" t="inlineStr">
        <is>
          <t>impairment loss</t>
        </is>
      </c>
      <c r="E26" s="11" t="inlineStr">
        <is>
          <t>PDF p.123 (印刷頁 122)</t>
        </is>
      </c>
      <c r="F26" s="11" t="inlineStr">
        <is>
          <t>) Hospital operation and management service (Continued) During the year ended 31 March 2025, management of the Group determined that impairment loss of approximately HK$8,815,000 (2024: HK$13,831,000) was recognised. Distribution and service in medical equipment and consumables During the year ended 31 March 2022, the Group acquired 60% equity interest of Beijing Youkang and therefore goodwill approximately HK$15,199,000 was recognised upon the acquisition. The recoverable amount of the distribution and service in medical equip</t>
        </is>
      </c>
    </row>
    <row r="27">
      <c r="A27" s="8" t="inlineStr">
        <is>
          <t>Impairment Testing</t>
        </is>
      </c>
      <c r="B27" s="8" t="inlineStr">
        <is>
          <t>減值測試</t>
        </is>
      </c>
      <c r="C27" s="19" t="inlineStr">
        <is>
          <t>high</t>
        </is>
      </c>
      <c r="D27" s="11" t="inlineStr">
        <is>
          <t>impairment loss</t>
        </is>
      </c>
      <c r="E27" s="11" t="inlineStr">
        <is>
          <t>PDF p.125 (印刷頁 124)</t>
        </is>
      </c>
      <c r="F27" s="11" t="inlineStr">
        <is>
          <t>of the Group’s ownership interest 20% 20% Share of net liabilities of the associate (346) (346) Cost of investment 4,000 4,000 Less: impairment loss recognised (3,654) (3,654) Carrying amount – – 19. LOAN AND INTEREST RECEIVABLES 2025 2024 HK$’000 HK$’000 Loan and interest receivables – unsecured 71,627 71,423 Less, Allowance for credit losses (37,282) (25,180) 34,345 46,243 The maturity date of loan and interest receivables (net of allowance for credit losses) are as follows: 2025 2024 HK$’000 HK$’000 Within one year or mature</t>
        </is>
      </c>
    </row>
    <row r="28">
      <c r="A28" s="8" t="inlineStr">
        <is>
          <t>Impairment Testing</t>
        </is>
      </c>
      <c r="B28" s="8" t="inlineStr">
        <is>
          <t>減值測試</t>
        </is>
      </c>
      <c r="C28" s="19" t="inlineStr">
        <is>
          <t>high</t>
        </is>
      </c>
      <c r="D28" s="11" t="inlineStr">
        <is>
          <t>impairment loss</t>
        </is>
      </c>
      <c r="E28" s="11" t="inlineStr">
        <is>
          <t>PDF p.126 (印刷頁 125)</t>
        </is>
      </c>
      <c r="F28" s="11" t="inlineStr">
        <is>
          <t>Total HK$’000 HK$’000 HK$’000 HK$’000 As at 1 April 2023 90 5,789 1,689 7,568 Transfer to lifetime ECL (credit-impaired) (87) – 87 – Impairment loss recognised – 9,341 8,398 17,739 Exchange realignment (3) (36) (88) (127) As at 31 March 2024 and as at 1 April 2024 – 15,094 10,086 25,180 Transfer to lifetime ECL (credit-impaired) – (15,094) 15,094 – Write-off – – (35) (35) Impairment loss recognised – – 11,688 11,688 Exchange realignment – – 449 449 As at 31 March 2025 – – 37,282 37,282 20. INVENTORIES 2025 2024 HK$’000 HK$’000</t>
        </is>
      </c>
    </row>
    <row r="29">
      <c r="A29" s="8" t="inlineStr">
        <is>
          <t>Impairment Testing</t>
        </is>
      </c>
      <c r="B29" s="8" t="inlineStr">
        <is>
          <t>減值測試</t>
        </is>
      </c>
      <c r="C29" s="19" t="inlineStr">
        <is>
          <t>high</t>
        </is>
      </c>
      <c r="D29" s="11" t="inlineStr">
        <is>
          <t>impairment loss</t>
        </is>
      </c>
      <c r="E29" s="11" t="inlineStr">
        <is>
          <t>PDF p.127 (印刷頁 126)</t>
        </is>
      </c>
      <c r="F29" s="11" t="inlineStr">
        <is>
          <t>ime ECL (non credit-impaired) 2025 2024 HK$’000 HK$’000 Balance at the beginning of the reporting period 1,516 820 Write-off (968) – Impairment loss recognised 9 730 Exchange realignment (8) (34) Balance at the end of the reporting period 549 1,516 126</t>
        </is>
      </c>
    </row>
    <row r="30">
      <c r="A30" s="8" t="inlineStr">
        <is>
          <t>Impairment Testing</t>
        </is>
      </c>
      <c r="B30" s="8" t="inlineStr">
        <is>
          <t>減值測試</t>
        </is>
      </c>
      <c r="C30" s="19" t="inlineStr">
        <is>
          <t>high</t>
        </is>
      </c>
      <c r="D30" s="11" t="inlineStr">
        <is>
          <t>impairment test</t>
        </is>
      </c>
      <c r="E30" s="11" t="inlineStr">
        <is>
          <t>PDF p.161 (印刷頁 160)</t>
        </is>
      </c>
      <c r="F30" s="11" t="inlineStr">
        <is>
          <t>costs of investment. The results of subsidiaries are accounted for by the Company on the basis of dividend received and receivable. Impairment testing of the investments in subsidiaries is required upon receiving a dividend from these investments if the dividend exceeds the total comprehensive income of the subsidiary in the period the dividend is declared or if the carrying amount of the investment in the separate financial statements exceeds the carrying amount in the consolidated financial statements of the investee’s net a</t>
        </is>
      </c>
    </row>
    <row r="31">
      <c r="A31" s="8" t="inlineStr">
        <is>
          <t>Impairment Testing</t>
        </is>
      </c>
      <c r="B31" s="8" t="inlineStr">
        <is>
          <t>減值測試</t>
        </is>
      </c>
      <c r="C31" s="19" t="inlineStr">
        <is>
          <t>high</t>
        </is>
      </c>
      <c r="D31" s="11" t="inlineStr">
        <is>
          <t>impairment test</t>
        </is>
      </c>
      <c r="E31" s="11" t="inlineStr">
        <is>
          <t>PDF p.166 (印刷頁 165)</t>
        </is>
      </c>
      <c r="F31" s="11" t="inlineStr">
        <is>
          <t>clude the carrying amount of goodwill relating to the entity sold. Goodwill is allocated to cash-generating units for the purpose of impairment testing. The allocation is made to those cash-generating units or groups of cash-generating units that are expected to benefit from the business combination in which the goodwill arose. The units or groups of units are identified at the lowest level at which goodwill is monitored for internal management purposes, being the operating segments (Note 6). 165</t>
        </is>
      </c>
    </row>
    <row r="32">
      <c r="A32" s="8" t="inlineStr">
        <is>
          <t>Impairment Testing</t>
        </is>
      </c>
      <c r="B32" s="8" t="inlineStr">
        <is>
          <t>減值測試</t>
        </is>
      </c>
      <c r="C32" s="19" t="inlineStr">
        <is>
          <t>high</t>
        </is>
      </c>
      <c r="D32" s="11" t="inlineStr">
        <is>
          <t>impairment loss</t>
        </is>
      </c>
      <c r="E32" s="11" t="inlineStr">
        <is>
          <t>PDF p.167 (印刷頁 166)</t>
        </is>
      </c>
      <c r="F32" s="11" t="inlineStr">
        <is>
          <t>are tested for impairment whenever events or changes in circumstances indicate that the carrying amount might not be recoverable. An impairment loss is recognised for the amount by which the asset’s carrying amount exceeds its recoverable amount. The recoverable amount is the higher of an asset’s fair value less costs of disposal and value in use. For the purposes of assessing impairment, assets are grouped at the lowest levels for which there are separately identifiable cash inflows which are largely independent of the cash in</t>
        </is>
      </c>
    </row>
    <row r="33">
      <c r="A33" s="8" t="inlineStr">
        <is>
          <t>Impairment Testing</t>
        </is>
      </c>
      <c r="B33" s="8" t="inlineStr">
        <is>
          <t>減值測試</t>
        </is>
      </c>
      <c r="C33" s="19" t="inlineStr">
        <is>
          <t>high</t>
        </is>
      </c>
      <c r="D33" s="11" t="inlineStr">
        <is>
          <t>impairment loss</t>
        </is>
      </c>
      <c r="E33" s="11" t="inlineStr">
        <is>
          <t>PDF p.168 (印刷頁 167)</t>
        </is>
      </c>
      <c r="F33" s="11" t="inlineStr">
        <is>
          <t>ion is recognised directly in profit or loss and presented in other gains/ (losses) together with foreign exchange gains and losses. Impairment losses are presented as a separate line item in the statement of profit or loss. iv. Impairment The Group assesses on a forward-looking basis the expected credit losses (“ECL”) associated with its debt instruments carried at amortised cost. The impairment methodology applied depends on whether there has been a significant increase in credit risk. For trade receivables and loan and inter</t>
        </is>
      </c>
    </row>
    <row r="34">
      <c r="A34" s="8" t="inlineStr">
        <is>
          <t>Intangible Assets &amp; Goodwill</t>
        </is>
      </c>
      <c r="B34" s="8" t="inlineStr">
        <is>
          <t>無形資產及商譽</t>
        </is>
      </c>
      <c r="C34" s="19" t="inlineStr">
        <is>
          <t>high</t>
        </is>
      </c>
      <c r="D34" s="11" t="inlineStr">
        <is>
          <t>goodwill</t>
        </is>
      </c>
      <c r="E34" s="11" t="inlineStr">
        <is>
          <t>PDF p.5 (印刷頁 4)</t>
        </is>
      </c>
      <c r="F34" s="11" t="inlineStr">
        <is>
          <t>loss on ECL on loan and interest receivables have been disclosed in note 4 of the consolidated financial statements. The group tests goodwill for impairment on an annual basis. There was no change of valuation methodology for the year ended 31 March 2025. For the year ended 31 March 2025, the recoverable amount of cashgenerating units (CGUs) was determined based on value in use calculations which require the use of assumptions. The calculations use cash flow projections based on financial budgets approved by management coveri</t>
        </is>
      </c>
    </row>
    <row r="35">
      <c r="A35" s="8" t="inlineStr">
        <is>
          <t>Intangible Assets &amp; Goodwill</t>
        </is>
      </c>
      <c r="B35" s="8" t="inlineStr">
        <is>
          <t>無形資產及商譽</t>
        </is>
      </c>
      <c r="C35" s="19" t="inlineStr">
        <is>
          <t>high</t>
        </is>
      </c>
      <c r="D35" s="11" t="inlineStr">
        <is>
          <t>patent</t>
        </is>
      </c>
      <c r="E35" s="11" t="inlineStr">
        <is>
          <t>PDF p.76 (印刷頁 75)</t>
        </is>
      </c>
      <c r="F35" s="11" t="inlineStr">
        <is>
          <t>the application, protection and management of intellectual property rights, and uniformly archiving and systematically managing the patents obtained by the Company to ensure the effective maintenance and application of intellectual property rights. (4) Anti-corruption The Group is fully aware that any events of corruption will bring irreparable and significant damage to the Group’s reputation and operations. As such, we adhere to high standards of business integrity throughout our operations, and regard a sound ethical system</t>
        </is>
      </c>
    </row>
    <row r="36">
      <c r="A36" s="8" t="inlineStr">
        <is>
          <t>Intangible Assets &amp; Goodwill</t>
        </is>
      </c>
      <c r="B36" s="8" t="inlineStr">
        <is>
          <t>無形資產及商譽</t>
        </is>
      </c>
      <c r="C36" s="19" t="inlineStr">
        <is>
          <t>high</t>
        </is>
      </c>
      <c r="D36" s="11" t="inlineStr">
        <is>
          <t>intangible asset</t>
        </is>
      </c>
      <c r="E36" s="11" t="inlineStr">
        <is>
          <t>PDF p.86 (印刷頁 85)</t>
        </is>
      </c>
      <c r="F36" s="11" t="inlineStr">
        <is>
          <t>2025 2024 Notes HK$’000 HK$’000 NON-CURRENT ASSETS Property, plant and equipment 14 17,396 18,238 Right-of-use assets 15 1,522 1,865 Intangible assets 16 249 1,073 Goodwill 17 13,561 25,633 Prepayment 22 – 16,524 Investment in an associate 18 – – 32,728 63,333 CURRENT ASSETS Inventories 20 13,536 18,595 Trade receivables 21 21,230 30,043 Prepayment, deposits and other receivables 22 44,388 30,089 Loan and interest receivables 19 34,345 46,243 Restricted cash 24 73 – Cash and cash equivalents 23 1,048 4,013 114,620 128,983 CURRE</t>
        </is>
      </c>
    </row>
    <row r="37">
      <c r="A37" s="8" t="inlineStr">
        <is>
          <t>Intangible Assets &amp; Goodwill</t>
        </is>
      </c>
      <c r="B37" s="8" t="inlineStr">
        <is>
          <t>無形資產及商譽</t>
        </is>
      </c>
      <c r="C37" s="19" t="inlineStr">
        <is>
          <t>high</t>
        </is>
      </c>
      <c r="D37" s="11" t="inlineStr">
        <is>
          <t>intangible asset</t>
        </is>
      </c>
      <c r="E37" s="11" t="inlineStr">
        <is>
          <t>PDF p.90 (印刷頁 89)</t>
        </is>
      </c>
      <c r="F37" s="11" t="inlineStr">
        <is>
          <t>nt 2,136 2,832 Depreciation of right-of-use assets 1,016 1,677 Net impairment loss of financial assets 17,642 18,435 Amortisation of intangible assets 260 39 Impairment loss recognised on non-financial assets 13,333 14,467 Loss on acquisition of subsidiaries – 313 Gain on disposal of subsidiaries – (3,311) Provision of litigation expenses 35,616 – Reversal of other payables and accrued expenses (16,306) (31,200) Written off of property, plant and equipment 13 125 Change in fair value of contingent consideration (5,171) 13,856 O</t>
        </is>
      </c>
    </row>
    <row r="38">
      <c r="A38" s="8" t="inlineStr">
        <is>
          <t>Intangible Assets &amp; Goodwill</t>
        </is>
      </c>
      <c r="B38" s="8" t="inlineStr">
        <is>
          <t>無形資產及商譽</t>
        </is>
      </c>
      <c r="C38" s="19" t="inlineStr">
        <is>
          <t>high</t>
        </is>
      </c>
      <c r="D38" s="11" t="inlineStr">
        <is>
          <t>intangible asset</t>
        </is>
      </c>
      <c r="E38" s="11" t="inlineStr">
        <is>
          <t>PDF p.104 (印刷頁 103)</t>
        </is>
      </c>
      <c r="F38" s="11" t="inlineStr">
        <is>
          <t>nges in key assumptions are disclosed in Note 17. (c) Estimated impairment of property, plant and equipment, right-of-use assets and intangible assets Property, plant and equipment, right-of-use assets and intangible assets are stated at costs less accumulated depreciation/amortisation and accumulated impairment losses, if any. In determining whether an asset is impaired, the Group has to exercise judgment and make estimation, particularly in assessing: (1) whether an event has occurred or any indicators that may affect the ass</t>
        </is>
      </c>
    </row>
    <row r="39">
      <c r="A39" s="8" t="inlineStr">
        <is>
          <t>Intangible Assets &amp; Goodwill</t>
        </is>
      </c>
      <c r="B39" s="8" t="inlineStr">
        <is>
          <t>無形資產及商譽</t>
        </is>
      </c>
      <c r="C39" s="19" t="inlineStr">
        <is>
          <t>high</t>
        </is>
      </c>
      <c r="D39" s="11" t="inlineStr">
        <is>
          <t>intangible asset</t>
        </is>
      </c>
      <c r="E39" s="11" t="inlineStr">
        <is>
          <t>PDF p.108 (印刷頁 107)</t>
        </is>
      </c>
      <c r="F39" s="11" t="inlineStr">
        <is>
          <t>nt profit or loss or segment assets: Additions to non-current assets (other than prepayment) 396 2,515 386 – – 3,297 Amortisation of intangible assets – – – 260 – 260 Net impairment loss of financial assets 880 (147) 10,472 536 5,901 17,642 Depreciation of property, plant and equipment 36 2,091 9 – – 2,136 Depreciation of right-of-use assets 241 656 119 – – 1,016 107</t>
        </is>
      </c>
    </row>
    <row r="40">
      <c r="A40" s="8" t="inlineStr">
        <is>
          <t>Intangible Assets &amp; Goodwill</t>
        </is>
      </c>
      <c r="B40" s="8" t="inlineStr">
        <is>
          <t>無形資產及商譽</t>
        </is>
      </c>
      <c r="C40" s="19" t="inlineStr">
        <is>
          <t>high</t>
        </is>
      </c>
      <c r="D40" s="11" t="inlineStr">
        <is>
          <t>intangible asset</t>
        </is>
      </c>
      <c r="E40" s="11" t="inlineStr">
        <is>
          <t>PDF p.109 (印刷頁 108)</t>
        </is>
      </c>
      <c r="F40" s="11" t="inlineStr">
        <is>
          <t>rofit or loss or segment assets: Additions to non-current assets (other than prepayment) 408 573 – 3,998 1,268 6,247 Amortisation of intangible assets – – – 39 – 39 Net impairment loss of financial assets (97) 107 8,110 26 10,289 18,435 Depreciation of property, plant and equipment 27 2,272 8 – 525 2,832 Depreciation of right-of-use assets 178 657 252 – 590 1,677 Geographical information The Group’s revenue were derived from the PRC and over 90% (2024: 90%) of the Group’s non-current assets (excluded prepayment) were located in</t>
        </is>
      </c>
    </row>
    <row r="41">
      <c r="A41" s="8" t="inlineStr">
        <is>
          <t>Intangible Assets &amp; Goodwill</t>
        </is>
      </c>
      <c r="B41" s="8" t="inlineStr">
        <is>
          <t>無形資產及商譽</t>
        </is>
      </c>
      <c r="C41" s="19" t="inlineStr">
        <is>
          <t>high</t>
        </is>
      </c>
      <c r="D41" s="11" t="inlineStr">
        <is>
          <t>goodwill</t>
        </is>
      </c>
      <c r="E41" s="11" t="inlineStr">
        <is>
          <t>PDF p.112 (印刷頁 111)</t>
        </is>
      </c>
      <c r="F41" s="11" t="inlineStr">
        <is>
          <t>sal of subsidiaries (Note 36) – 3,311 Loss on acquisition of subsidiaries (Note 35) – (313) Impairment loss recognised in respect of goodwill (Note 17) (11,746) (13,831) (6,575) (24,689) Note: (a) During the year ended 31 March 2025, the Group recognised government grants of approximately HK$137,000 (2024: HK$465,000) from PRC government for employment support. There were no unfulfilled conditions or contingencies relating to these government grants. 111</t>
        </is>
      </c>
    </row>
    <row r="42">
      <c r="A42" s="8" t="inlineStr">
        <is>
          <t>Intangible Assets &amp; Goodwill</t>
        </is>
      </c>
      <c r="B42" s="8" t="inlineStr">
        <is>
          <t>無形資產及商譽</t>
        </is>
      </c>
      <c r="C42" s="19" t="inlineStr">
        <is>
          <t>high</t>
        </is>
      </c>
      <c r="D42" s="11" t="inlineStr">
        <is>
          <t>intangible asset</t>
        </is>
      </c>
      <c r="E42" s="11" t="inlineStr">
        <is>
          <t>PDF p.113 (印刷頁 112)</t>
        </is>
      </c>
      <c r="F42" s="11" t="inlineStr">
        <is>
          <t>K$’000 HK$’000 Auditor’s remuneration for audit services 950 880 Auditor’s remuneration for non-audit services – 308 Amortisation of intangible assets (Note 16) 260 39 Impairment loss recognised on intangible assets (Note 16) 566 – Depreciation of right-of-use assets (Note 15) 1,016 1,677 Impairment loss recognised on right-of-use assets (Note 15) 1,021 636 Depreciation of property, plant and equipment (Note 14) 2,136 2,832 Expenses related to short-term leases 966 922 Written off of property, plant and equipment 13 125 Provisi</t>
        </is>
      </c>
    </row>
    <row r="43">
      <c r="A43" s="8" t="inlineStr">
        <is>
          <t>Intangible Assets &amp; Goodwill</t>
        </is>
      </c>
      <c r="B43" s="8" t="inlineStr">
        <is>
          <t>無形資產及商譽</t>
        </is>
      </c>
      <c r="C43" s="19" t="inlineStr">
        <is>
          <t>high</t>
        </is>
      </c>
      <c r="D43" s="11" t="inlineStr">
        <is>
          <t>intangible asset</t>
        </is>
      </c>
      <c r="E43" s="11" t="inlineStr">
        <is>
          <t>PDF p.121 (印刷頁 120)</t>
        </is>
      </c>
      <c r="F43" s="11" t="inlineStr">
        <is>
          <t>e assets of Golden Alliance Group with the amounts of approximately HK$636,000 was impaired during the year ended 31 March 2024. 16. INTANGIBLE ASSETS Patent HK$’000 Cost: As at 1 April 2023 – Acquisition of subsidiaries (Note 35) 1,108 Exchange realignment 12 As at 31 March 2024 and 1 April 2024 1,120 Exchange realignment (5) As at 31 March 2025 1,115 Accumulated amortization and impairment: As 1 April 2023 – Amortised for the year 39 Exchange realignment 8 As at 31 March 2024 and as at 1 April 2024 47 Amortised for the year 2</t>
        </is>
      </c>
    </row>
    <row r="44">
      <c r="A44" s="8" t="inlineStr">
        <is>
          <t>Intangible Assets &amp; Goodwill</t>
        </is>
      </c>
      <c r="B44" s="8" t="inlineStr">
        <is>
          <t>無形資產及商譽</t>
        </is>
      </c>
      <c r="C44" s="19" t="inlineStr">
        <is>
          <t>high</t>
        </is>
      </c>
      <c r="D44" s="11" t="inlineStr">
        <is>
          <t>goodwill</t>
        </is>
      </c>
      <c r="E44" s="11" t="inlineStr">
        <is>
          <t>PDF p.122 (印刷頁 121)</t>
        </is>
      </c>
      <c r="F44" s="11" t="inlineStr">
        <is>
          <t>LTH GROUP LIMITED ANNUAL REPORT 2025 Notes to the Consolidated Financial Statements (Continued) For the year ended 31 March 2025 17. GOODWILL 2025 2024 HK$’000 HK$’000 Cost: As at 1 April 39,492 37,880 Arising from acquisition of subsidiaries (Note 35) – 2,890 Exchange realignment (646) (1,278) As at 31 March 38,846 39,492 Accumulated impairment: As at 1 April 13,859 – Impairment loss recognised 11,746 13,831 Exchange realignment (320) 28 As at 31 March 25,285 13,859 Carrying amounts 13,561 25,633 Goodwill is allocated to the G</t>
        </is>
      </c>
    </row>
    <row r="45">
      <c r="A45" s="8" t="inlineStr">
        <is>
          <t>Intangible Assets &amp; Goodwill</t>
        </is>
      </c>
      <c r="B45" s="8" t="inlineStr">
        <is>
          <t>無形資產及商譽</t>
        </is>
      </c>
      <c r="C45" s="19" t="inlineStr">
        <is>
          <t>high</t>
        </is>
      </c>
      <c r="D45" s="11" t="inlineStr">
        <is>
          <t>goodwill</t>
        </is>
      </c>
      <c r="E45" s="11" t="inlineStr">
        <is>
          <t>PDF p.123 (印刷頁 122)</t>
        </is>
      </c>
      <c r="F45" s="11" t="inlineStr">
        <is>
          <t>LTH GROUP LIMITED ANNUAL REPORT 2025 Notes to the Consolidated Financial Statements (Continued) For the year ended 31 March 2025 17. GOODWILL (Continued) Hospital operation and management service (Continued) During the year ended 31 March 2025, management of the Group determined that impairment loss of approximately HK$8,815,000 (2024: HK$13,831,000) was recognised. Distribution and service in medical equipment and consumables During the year ended 31 March 2022, the Group acquired 60% equity interest of Beijing Youkang and the</t>
        </is>
      </c>
    </row>
    <row r="46">
      <c r="A46" s="8" t="inlineStr">
        <is>
          <t>Intangible Assets &amp; Goodwill</t>
        </is>
      </c>
      <c r="B46" s="8" t="inlineStr">
        <is>
          <t>無形資產及商譽</t>
        </is>
      </c>
      <c r="C46" s="19" t="inlineStr">
        <is>
          <t>high</t>
        </is>
      </c>
      <c r="D46" s="11" t="inlineStr">
        <is>
          <t>goodwill</t>
        </is>
      </c>
      <c r="E46" s="11" t="inlineStr">
        <is>
          <t>PDF p.151 (印刷頁 150)</t>
        </is>
      </c>
      <c r="F46" s="11" t="inlineStr">
        <is>
          <t>ued expenses (315) Amounts due to the group companies (10,422) Lease liabilities (Note 38) (1,060) Net liabilities acquired of (614) Goodwill arising on acquisition: HK$’000 Fair value of contingent consideration – Less: recognised amounts of net liabilities acquired 614 Non-controlling interests (301) Loss on acquisition of subsidiaries 313 150</t>
        </is>
      </c>
    </row>
    <row r="47">
      <c r="A47" s="8" t="inlineStr">
        <is>
          <t>Intangible Assets &amp; Goodwill</t>
        </is>
      </c>
      <c r="B47" s="8" t="inlineStr">
        <is>
          <t>無形資產及商譽</t>
        </is>
      </c>
      <c r="C47" s="19" t="inlineStr">
        <is>
          <t>high</t>
        </is>
      </c>
      <c r="D47" s="11" t="inlineStr">
        <is>
          <t>intangible asset</t>
        </is>
      </c>
      <c r="E47" s="11" t="inlineStr">
        <is>
          <t>PDF p.153 (印刷頁 152)</t>
        </is>
      </c>
      <c r="F47" s="11" t="inlineStr">
        <is>
          <t>BSIDIARIES (Continued) Acquisition of Jinmei Group (Continued) Assets and liabilities recognised at the date of acquisition: HK$’000 Intangible assets (Note 16) 1,108 Prepayment, deposits and other receivables 3,669 Cash and bank balances 22 Other payables and accrued expenses (211) Deferred tax liabilities (Note 31) (142) Net assets acquired of 4,446 Goodwill arising on acquisition: HK$’000 Fair value of contingent consideration 7,336 Less: recognised amounts of net assets acquired (4,446) Goodwill arising on acquisition 2,890</t>
        </is>
      </c>
    </row>
    <row r="48">
      <c r="A48" s="8" t="inlineStr">
        <is>
          <t>Intangible Assets &amp; Goodwill</t>
        </is>
      </c>
      <c r="B48" s="8" t="inlineStr">
        <is>
          <t>無形資產及商譽</t>
        </is>
      </c>
      <c r="C48" s="19" t="inlineStr">
        <is>
          <t>high</t>
        </is>
      </c>
      <c r="D48" s="11" t="inlineStr">
        <is>
          <t>goodwill</t>
        </is>
      </c>
      <c r="E48" s="11" t="inlineStr">
        <is>
          <t>PDF p.161 (印刷頁 160)</t>
        </is>
      </c>
      <c r="F48" s="11" t="inlineStr">
        <is>
          <t>ate financial statements exceeds the carrying amount in the consolidated financial statements of the investee’s net assets including goodwill. ii. Associates Associates are all entities over which the group has significant influence but not control or joint control. This is generally the case where the group holds between 20% and 50% of the voting rights. Investments in associates are accounted for using the equity method of accounting (see (iii) below), after initially being recognised at cost. 160</t>
        </is>
      </c>
    </row>
    <row r="49">
      <c r="A49" s="8" t="inlineStr">
        <is>
          <t>Intangible Assets &amp; Goodwill</t>
        </is>
      </c>
      <c r="B49" s="8" t="inlineStr">
        <is>
          <t>無形資產及商譽</t>
        </is>
      </c>
      <c r="C49" s="19" t="inlineStr">
        <is>
          <t>high</t>
        </is>
      </c>
      <c r="D49" s="11" t="inlineStr">
        <is>
          <t>goodwill</t>
        </is>
      </c>
      <c r="E49" s="11" t="inlineStr">
        <is>
          <t>PDF p.163 (印刷頁 162)</t>
        </is>
      </c>
      <c r="F49" s="11" t="inlineStr">
        <is>
          <t>ue of any previous equity interest in the acquired entity over the fair value of the net identifiable assets acquired is recorded as goodwill. If those amounts are less than the fair value of the net identifiable assets of the business acquired, the difference is recognised directly in profit or loss as a bargain purchase. Where settlement of any part of cash consideration is deferred, the amounts payable in the future are discounted to their present value as at the date of exchange. The discount rate used is the entity’s incre</t>
        </is>
      </c>
    </row>
    <row r="50">
      <c r="A50" s="8" t="inlineStr">
        <is>
          <t>Intangible Assets &amp; Goodwill</t>
        </is>
      </c>
      <c r="B50" s="8" t="inlineStr">
        <is>
          <t>無形資產及商譽</t>
        </is>
      </c>
      <c r="C50" s="19" t="inlineStr">
        <is>
          <t>high</t>
        </is>
      </c>
      <c r="D50" s="11" t="inlineStr">
        <is>
          <t>goodwill</t>
        </is>
      </c>
      <c r="E50" s="11" t="inlineStr">
        <is>
          <t>PDF p.165 (印刷頁 164)</t>
        </is>
      </c>
      <c r="F50" s="11" t="inlineStr">
        <is>
          <t>investment are repaid, the associated exchange differences are reclassified to profit or loss, as part of the gain or loss on sale. Goodwill and fair value adjustments arising on the acquisition of a foreign operation are treated as assets and liabilities of the foreign operation and translated at the closing rate. 164</t>
        </is>
      </c>
    </row>
    <row r="51">
      <c r="A51" s="8" t="inlineStr">
        <is>
          <t>Intangible Assets &amp; Goodwill</t>
        </is>
      </c>
      <c r="B51" s="8" t="inlineStr">
        <is>
          <t>無形資產及商譽</t>
        </is>
      </c>
      <c r="C51" s="19" t="inlineStr">
        <is>
          <t>high</t>
        </is>
      </c>
      <c r="D51" s="11" t="inlineStr">
        <is>
          <t>goodwill</t>
        </is>
      </c>
      <c r="E51" s="11" t="inlineStr">
        <is>
          <t>PDF p.166 (印刷頁 165)</t>
        </is>
      </c>
      <c r="F51" s="11" t="inlineStr">
        <is>
          <t>Gains and losses on disposals are determined by comparing proceeds with carrying amount. These are included in profit or loss. 42.6 Goodwill Goodwill is measured as described in Note 42.2. Goodwill is not amortised but it is tested for impairment annually, or more frequently if events or changes in circumstances indicate that it might be impaired, and is carried at cost less accumulated impairment losses. Gains and losses on the disposal of an entity include the carrying amount of goodwill relating to the entity sold. Goodwill</t>
        </is>
      </c>
    </row>
    <row r="52">
      <c r="A52" s="8" t="inlineStr">
        <is>
          <t>Intangible Assets &amp; Goodwill</t>
        </is>
      </c>
      <c r="B52" s="8" t="inlineStr">
        <is>
          <t>無形資產及商譽</t>
        </is>
      </c>
      <c r="C52" s="19" t="inlineStr">
        <is>
          <t>high</t>
        </is>
      </c>
      <c r="D52" s="11" t="inlineStr">
        <is>
          <t>intangible asset</t>
        </is>
      </c>
      <c r="E52" s="11" t="inlineStr">
        <is>
          <t>PDF p.167 (印刷頁 166)</t>
        </is>
      </c>
      <c r="F52" s="11" t="inlineStr">
        <is>
          <t>2025 42. SUMMARY OF OTHER POTENTIALLY MATERIAL ACCOUNTING POLICIES (Continued) 42.7 Impairment of non-financial assets Goodwill and intangible assets that have an indefinite useful life are not subject to amortisation and are tested annually for impairment, or more frequently if events or changes in circumstances indicate that they might be impaired. Other assets are tested for impairment whenever events or changes in circumstances indicate that the carrying amount might not be recoverable. An impairment loss is recognised for</t>
        </is>
      </c>
    </row>
    <row r="53">
      <c r="A53" s="8" t="inlineStr">
        <is>
          <t>Intangible Assets &amp; Goodwill</t>
        </is>
      </c>
      <c r="B53" s="8" t="inlineStr">
        <is>
          <t>無形資產及商譽</t>
        </is>
      </c>
      <c r="C53" s="19" t="inlineStr">
        <is>
          <t>high</t>
        </is>
      </c>
      <c r="D53" s="11" t="inlineStr">
        <is>
          <t>goodwill</t>
        </is>
      </c>
      <c r="E53" s="11" t="inlineStr">
        <is>
          <t>PDF p.172 (印刷頁 171)</t>
        </is>
      </c>
      <c r="F53" s="11" t="inlineStr">
        <is>
          <t>onsolidated financial statements. However, deferred tax liabilities are not recognised if they arise from the initial recognition of goodwill. Deferred income tax is also not accounted for if it arises from initial recognition of an asset or liability in a transaction other than a business combination that at the time of the transaction affects neither accounting nor taxable profit or loss and does not give rise to equal taxable and deductible temporary differences. Deferred income tax is determined using tax rates (and laws) t</t>
        </is>
      </c>
    </row>
    <row r="54">
      <c r="A54" s="8" t="inlineStr">
        <is>
          <t>Investment Properties</t>
        </is>
      </c>
      <c r="B54" s="8" t="inlineStr">
        <is>
          <t>投資物業</t>
        </is>
      </c>
      <c r="C54" s="19" t="inlineStr">
        <is>
          <t>high</t>
        </is>
      </c>
      <c r="D54" s="11" t="inlineStr">
        <is>
          <t>gross floor area</t>
        </is>
      </c>
      <c r="E54" s="11" t="inlineStr">
        <is>
          <t>PDF p.6 (印刷頁 5)</t>
        </is>
      </c>
      <c r="F54" s="11" t="inlineStr">
        <is>
          <t>mited and has become an indirect wholly-owned subsidiary of the Company and changed to a profit Class II general hospital. The total gross floor area of the hospital is approximately 6,123 square metres, of which approximately 3,000 square metres are for treatment and diagnosis use, offering up to 130 beds. The hospital provides services covering clinical medicine, pediatrics, surgery, gynecology, traditional Chinese medicine and otolaryngology through outpatient services, hospitalization and general medical services including</t>
        </is>
      </c>
    </row>
    <row r="55">
      <c r="A55" s="8" t="inlineStr">
        <is>
          <t>ESG Data</t>
        </is>
      </c>
      <c r="B55" s="8" t="inlineStr">
        <is>
          <t>環境社會及管治數據</t>
        </is>
      </c>
      <c r="C55" s="8" t="inlineStr">
        <is>
          <t>medium</t>
        </is>
      </c>
      <c r="D55" s="11" t="inlineStr">
        <is>
          <t>sustainability</t>
        </is>
      </c>
      <c r="E55" s="11" t="inlineStr">
        <is>
          <t>PDF p.23 (印刷頁 22)</t>
        </is>
      </c>
      <c r="F55" s="11" t="inlineStr">
        <is>
          <t>t in note 4 to the consolidated financial statements. Environmental Policies and Performance The Group is committed to the long term sustainability of the environment and communities in which it operates. The Group’s operations are subject to a variety of the PRC environmental laws and regulations, as well as local environmental regulations promulgated by local authorities on environmental protection. The Group was in compliance with all relevant laws and regulations regarding environmental protection in all material respects a</t>
        </is>
      </c>
    </row>
    <row r="56">
      <c r="A56" s="8" t="inlineStr">
        <is>
          <t>ESG Data</t>
        </is>
      </c>
      <c r="B56" s="8" t="inlineStr">
        <is>
          <t>環境社會及管治數據</t>
        </is>
      </c>
      <c r="C56" s="8" t="inlineStr">
        <is>
          <t>medium</t>
        </is>
      </c>
      <c r="D56" s="11" t="inlineStr">
        <is>
          <t>sustainability</t>
        </is>
      </c>
      <c r="E56" s="11" t="inlineStr">
        <is>
          <t>PDF p.36 (印刷頁 35)</t>
        </is>
      </c>
      <c r="F56" s="11" t="inlineStr">
        <is>
          <t>ls, and a high degree of transparency and accountability, which enhances corporate value for shareholders and protects the long-term sustainability of the Group and thereby achieving sustainable business growth and generating values over the longer term and the strategy for delivering the Group’s objective. In the opinion of the Board, the Company has complied with the applicable code provisions set out in the Code throughout the year ended 31 March 2025 except for certain deviation disclosed herein. Pursuant to code provision</t>
        </is>
      </c>
    </row>
    <row r="57">
      <c r="A57" s="8" t="inlineStr">
        <is>
          <t>ESG Data</t>
        </is>
      </c>
      <c r="B57" s="8" t="inlineStr">
        <is>
          <t>環境社會及管治數據</t>
        </is>
      </c>
      <c r="C57" s="8" t="inlineStr">
        <is>
          <t>medium</t>
        </is>
      </c>
      <c r="D57" s="11" t="inlineStr">
        <is>
          <t>ESG</t>
        </is>
      </c>
      <c r="E57" s="11" t="inlineStr">
        <is>
          <t>PDF p.57 (印刷頁 56)</t>
        </is>
      </c>
      <c r="F57" s="11" t="inlineStr">
        <is>
          <t>LIMITED ANNUAL REPORT 2025 Environmental, Social and Governance Report ABOUT THIS REPORT This Environmental, Social and Governance (“ESG”) report is prepared in accordance with the Guidelines on ESG Reporting as stated in Appendix C2 of the Main Board Listing Rules of The Stock Exchange of Hong Kong Limited (the “Stock Exchange”). It aims to highlight the Group’s ESG performance and to help all stakeholders understand the Group’s ESG concepts and practices with a view to achieving future sustainable development. 1. Scope of thi</t>
        </is>
      </c>
    </row>
    <row r="58">
      <c r="A58" s="8" t="inlineStr">
        <is>
          <t>ESG Data</t>
        </is>
      </c>
      <c r="B58" s="8" t="inlineStr">
        <is>
          <t>環境社會及管治數據</t>
        </is>
      </c>
      <c r="C58" s="8" t="inlineStr">
        <is>
          <t>medium</t>
        </is>
      </c>
      <c r="D58" s="11" t="inlineStr">
        <is>
          <t>ESG</t>
        </is>
      </c>
      <c r="E58" s="11" t="inlineStr">
        <is>
          <t>PDF p.58 (印刷頁 57)</t>
        </is>
      </c>
      <c r="F58" s="11" t="inlineStr">
        <is>
          <t>s The following principles are adopted in the Report: • Materiality: Important and relevant information to stakeholders on different ESG aspects is covered in the Report. A materiality assessment was conducted to determine material ESG issues, with results approved by the Board. • Quantitative: The relevant standards, methodologies and assumptions used to prepare the quantitative information are disclosed as appropriate. Quantitative information is provided with narrative and comparative figures, where possible. • Consistency:</t>
        </is>
      </c>
    </row>
    <row r="59">
      <c r="A59" s="8" t="inlineStr">
        <is>
          <t>ESG Data</t>
        </is>
      </c>
      <c r="B59" s="8" t="inlineStr">
        <is>
          <t>環境社會及管治數據</t>
        </is>
      </c>
      <c r="C59" s="8" t="inlineStr">
        <is>
          <t>medium</t>
        </is>
      </c>
      <c r="D59" s="11" t="inlineStr">
        <is>
          <t>ESG</t>
        </is>
      </c>
      <c r="E59" s="11" t="inlineStr">
        <is>
          <t>PDF p.59 (印刷頁 58)</t>
        </is>
      </c>
      <c r="F59" s="11" t="inlineStr">
        <is>
          <t>nd Governance Report Hence, this can enhance the Company’s understanding of their degree and change of attention to each significant ESG issue and can enable us to more comprehensively plan our sustainable development work in the future. Those important and material ESG areas identified during our material assessment were discussed in this Report. (2) Contact Information The Group welcomes your feedback on this Report for our sustainability initiatives. Please contact us by email at info@ch-groups.com. 4. Our Sustainable Develo</t>
        </is>
      </c>
    </row>
    <row r="60">
      <c r="A60" s="8" t="inlineStr">
        <is>
          <t>ESG Data</t>
        </is>
      </c>
      <c r="B60" s="8" t="inlineStr">
        <is>
          <t>環境社會及管治數據</t>
        </is>
      </c>
      <c r="C60" s="8" t="inlineStr">
        <is>
          <t>medium</t>
        </is>
      </c>
      <c r="D60" s="11" t="inlineStr">
        <is>
          <t>ESG</t>
        </is>
      </c>
      <c r="E60" s="11" t="inlineStr">
        <is>
          <t>PDF p.60 (印刷頁 59)</t>
        </is>
      </c>
      <c r="F60" s="11" t="inlineStr">
        <is>
          <t>ements of stakeholders, but also provides the Group with valuable data support to make more informed decisions. We prioritised those ESG topics into three categories: high, medium and low, for better strategic planning and resource allocation. The issues which fell in the upper right corner of the matrix were defined as the topics that matter most in the Group’s business operation and our stakeholders are concerned about. For these key areas, we will invest more resources and implement relevant measures to strengthen performanc</t>
        </is>
      </c>
    </row>
    <row r="61">
      <c r="A61" s="8" t="inlineStr">
        <is>
          <t>ESG Data</t>
        </is>
      </c>
      <c r="B61" s="8" t="inlineStr">
        <is>
          <t>環境社會及管治數據</t>
        </is>
      </c>
      <c r="C61" s="8" t="inlineStr">
        <is>
          <t>medium</t>
        </is>
      </c>
      <c r="D61" s="11" t="inlineStr">
        <is>
          <t>greenhouse gas</t>
        </is>
      </c>
      <c r="E61" s="11" t="inlineStr">
        <is>
          <t>PDF p.61 (印刷頁 60)</t>
        </is>
      </c>
      <c r="F61" s="11" t="inlineStr">
        <is>
          <t>External Not Not relevant Crucial Internal assessment (impact on business) Environmental issues Social issues Operational matters 1. Greenhouse gas emissions 8. Community engagement 15. Economic value generated 2. Energy consumption 9. Occupational health and safety 16. Corporate governance 3. Water consumption 10. Labour Standards 17. Anti-corruption 4. Waste 11. Training and development 18. Supply Chain Management 5. Environmental impact 12. Employee welfare 19. Customer satisfaction 6. Air emissions 13. Equal opportunities 2</t>
        </is>
      </c>
    </row>
    <row r="62">
      <c r="A62" s="8" t="inlineStr">
        <is>
          <t>ESG Data</t>
        </is>
      </c>
      <c r="B62" s="8" t="inlineStr">
        <is>
          <t>環境社會及管治數據</t>
        </is>
      </c>
      <c r="C62" s="8" t="inlineStr">
        <is>
          <t>medium</t>
        </is>
      </c>
      <c r="D62" s="11" t="inlineStr">
        <is>
          <t>greenhouse gas</t>
        </is>
      </c>
      <c r="E62" s="11" t="inlineStr">
        <is>
          <t>PDF p.62 (印刷頁 61)</t>
        </is>
      </c>
      <c r="F62" s="11" t="inlineStr">
        <is>
          <t>roup produces only a small amount of air pollutants and wastes. These mainly derive from direct emissions from vehicles and indirect greenhouse gas emissions from electricity consumption (e.g. carbon dioxide emissions). Air emissions The Group takes the initiative to examine the issue of air emission across its operation. Due to its business nature, the Group was not involved in any combustion processes or industrial activities that led to direct air pollutant emissions to the atmosphere. The Group thus concludes that its opera</t>
        </is>
      </c>
    </row>
    <row r="63">
      <c r="A63" s="8" t="inlineStr">
        <is>
          <t>ESG Data</t>
        </is>
      </c>
      <c r="B63" s="8" t="inlineStr">
        <is>
          <t>環境社會及管治數據</t>
        </is>
      </c>
      <c r="C63" s="8" t="inlineStr">
        <is>
          <t>medium</t>
        </is>
      </c>
      <c r="D63" s="11" t="inlineStr">
        <is>
          <t>greenhouse gas</t>
        </is>
      </c>
      <c r="E63" s="11" t="inlineStr">
        <is>
          <t>PDF p.63 (印刷頁 62)</t>
        </is>
      </c>
      <c r="F63" s="11" t="inlineStr">
        <is>
          <t>se; • Vehicle electrification: we gradually introduce electric vehicles to replace traditional fuel ones to reduce air pollution and greenhouse gas emissions; • Regular energy assessment: we conduct regular energy audits in order to identify and implement more opportunities for energy saving and emission reduction; • Carbon footprint assessment and emission reduction targets: we regularly assess the carbon footprint of corporate activities, and set emission reduction targets and implement corresponding mitigation measures based</t>
        </is>
      </c>
    </row>
    <row r="64">
      <c r="A64" s="8" t="inlineStr">
        <is>
          <t>ESG Data</t>
        </is>
      </c>
      <c r="B64" s="8" t="inlineStr">
        <is>
          <t>環境社會及管治數據</t>
        </is>
      </c>
      <c r="C64" s="8" t="inlineStr">
        <is>
          <t>medium</t>
        </is>
      </c>
      <c r="D64" s="11" t="inlineStr">
        <is>
          <t>carbon</t>
        </is>
      </c>
      <c r="E64" s="11" t="inlineStr">
        <is>
          <t>PDF p.66 (印刷頁 65)</t>
        </is>
      </c>
      <c r="F64" s="11" t="inlineStr">
        <is>
          <t>e and encourage employees to practice internetmeetings to reduce unnecessary business travels, thereby effectively diminishing the carbon emissions generated by transportation. To achieve higher energy efficiency, the Group has implemented the following key initiatives during the Reporting Period: • Encouraging employees to participate in energy management: employees are provided with energy awareness education activities, and are encouraged to switch off unnecessary electrical appliances in their daily work to use natural li</t>
        </is>
      </c>
    </row>
    <row r="65">
      <c r="A65" s="8" t="inlineStr">
        <is>
          <t>ESG Data</t>
        </is>
      </c>
      <c r="B65" s="8" t="inlineStr">
        <is>
          <t>環境社會及管治數據</t>
        </is>
      </c>
      <c r="C65" s="8" t="inlineStr">
        <is>
          <t>medium</t>
        </is>
      </c>
      <c r="D65" s="11" t="inlineStr">
        <is>
          <t>energy consumption</t>
        </is>
      </c>
      <c r="E65" s="11" t="inlineStr">
        <is>
          <t>PDF p.67 (印刷頁 66)</t>
        </is>
      </c>
      <c r="F65" s="11" t="inlineStr">
        <is>
          <t>CHINA HEALTH GROUP LIMITED ANNUAL REPORT 2025 Environmental, Social and Governance Report The energy consumption in the recent two years is as follows: Energy consumption Unit 2025 2024 Electricity kWh 403,902 647,148 Fuel kWh 120,569 187,027 Energy consumption intensity kWh/millions of revenue 13,977 12,131 Water Tonne 4,785 19,298 Water consumption intensity Tonne/millions of revenue 128 281 The consumption of non-hazardous waste in the recent two years is as follows: Energy consumption</t>
        </is>
      </c>
    </row>
    <row r="66">
      <c r="A66" s="8" t="inlineStr">
        <is>
          <t>ESG Data</t>
        </is>
      </c>
      <c r="B66" s="8" t="inlineStr">
        <is>
          <t>環境社會及管治數據</t>
        </is>
      </c>
      <c r="C66" s="8" t="inlineStr">
        <is>
          <t>medium</t>
        </is>
      </c>
      <c r="D66" s="11" t="inlineStr">
        <is>
          <t>greenhouse gas</t>
        </is>
      </c>
      <c r="E66" s="11" t="inlineStr">
        <is>
          <t>PDF p.68 (印刷頁 67)</t>
        </is>
      </c>
      <c r="F66" s="11" t="inlineStr">
        <is>
          <t>CHINA HEALTH GROUP LIMITED ANNUAL REPORT 2025 Environmental, Social and Governance Report (4) Greenhouse Gas Emissions Global warming is one of the main issues of climate change, and is closely related to the greenhouse gas emissions from human activities. With climate-change-related risks looming, the consensus now is that measures must be taken to further quantify and assess them. The Group is also concerned about these risks and we are committed to making use of resources in a sustainab</t>
        </is>
      </c>
    </row>
    <row r="67">
      <c r="A67" s="8" t="inlineStr">
        <is>
          <t>R&amp;D Expenditure</t>
        </is>
      </c>
      <c r="B67" s="8" t="inlineStr">
        <is>
          <t>研發開支</t>
        </is>
      </c>
      <c r="C67" s="8" t="inlineStr">
        <is>
          <t>medium</t>
        </is>
      </c>
      <c r="D67" s="11" t="inlineStr">
        <is>
          <t>research and development</t>
        </is>
      </c>
      <c r="E67" s="11" t="inlineStr">
        <is>
          <t>PDF p.6 (印刷頁 5)</t>
        </is>
      </c>
      <c r="F67" s="11" t="inlineStr">
        <is>
          <t>onsumables distribution and service business; (b) hospital operation and management services business; (c) business service; and (d) research and development and sale of functional food. (a) Medical equipment and consumables distribution and service business During the year, the Group recorded revenue of approximately HK$27.7 million (2024: HK$45.8 million), representing a decrease of 40% as compared with the previous financial year. The loss was approximately HK$0.4 million (2024: profit of HK$0.4 million) during the year. The</t>
        </is>
      </c>
    </row>
    <row r="68">
      <c r="A68" s="8" t="inlineStr">
        <is>
          <t>R&amp;D Expenditure</t>
        </is>
      </c>
      <c r="B68" s="8" t="inlineStr">
        <is>
          <t>研發開支</t>
        </is>
      </c>
      <c r="C68" s="8" t="inlineStr">
        <is>
          <t>medium</t>
        </is>
      </c>
      <c r="D68" s="11" t="inlineStr">
        <is>
          <t>research and development</t>
        </is>
      </c>
      <c r="E68" s="11" t="inlineStr">
        <is>
          <t>PDF p.8 (印刷頁 7)</t>
        </is>
      </c>
      <c r="F68" s="11" t="inlineStr">
        <is>
          <t>CHINA HEALTH GROUP LIMITED ANNUAL REPORT 2025 Management Discussion and Analysis (d) Research and development and sale of functional food On 16 November 2023, the Group completed acquisition of 100% equity interest in Jinmei Developments Limited (“Jinmei”) at the consideration of HK$146 million which were satisfied by the issue of the promissory note of HK$146 million (the “Promissory Note”). Jinmei and its subsidiaries (the “Jinmei Group”) are principally engaged in the research</t>
        </is>
      </c>
    </row>
    <row r="69">
      <c r="A69" s="8" t="inlineStr">
        <is>
          <t>R&amp;D Expenditure</t>
        </is>
      </c>
      <c r="B69" s="8" t="inlineStr">
        <is>
          <t>研發開支</t>
        </is>
      </c>
      <c r="C69" s="8" t="inlineStr">
        <is>
          <t>medium</t>
        </is>
      </c>
      <c r="D69" s="11" t="inlineStr">
        <is>
          <t>research and development</t>
        </is>
      </c>
      <c r="E69" s="11" t="inlineStr">
        <is>
          <t>PDF p.14 (印刷頁 13)</t>
        </is>
      </c>
      <c r="F69" s="11" t="inlineStr">
        <is>
          <t>ave as the above and entering of the Settlement Deed in respect of Jinmei Devleopments on 3 July 2025 as detailed in section headed “Research and development and sale of functional food”, there were no other material acquisitions and disposals during the year and up to date of this report. 13</t>
        </is>
      </c>
    </row>
    <row r="70">
      <c r="A70" s="8" t="inlineStr">
        <is>
          <t>R&amp;D Expenditure</t>
        </is>
      </c>
      <c r="B70" s="8" t="inlineStr">
        <is>
          <t>研發開支</t>
        </is>
      </c>
      <c r="C70" s="8" t="inlineStr">
        <is>
          <t>medium</t>
        </is>
      </c>
      <c r="D70" s="11" t="inlineStr">
        <is>
          <t>research and development</t>
        </is>
      </c>
      <c r="E70" s="11" t="inlineStr">
        <is>
          <t>PDF p.23 (印刷頁 22)</t>
        </is>
      </c>
      <c r="F70" s="11" t="inlineStr">
        <is>
          <t>ution and service in medical equipment and consumables, provision of hospital operation and management service, business service and research and development and sale of functional food during the year. There were no significant changes in the operation of the Group during the year. BUSINESS REVIEW Details of business review, financial performance and future development of the Group’s business are set out in the “Management Discussion and Analysis” section from pages 4 to 17. Principal Risks and Uncertainties There are various</t>
        </is>
      </c>
    </row>
    <row r="71">
      <c r="A71" s="8" t="inlineStr">
        <is>
          <t>R&amp;D Expenditure</t>
        </is>
      </c>
      <c r="B71" s="8" t="inlineStr">
        <is>
          <t>研發開支</t>
        </is>
      </c>
      <c r="C71" s="8" t="inlineStr">
        <is>
          <t>medium</t>
        </is>
      </c>
      <c r="D71" s="11" t="inlineStr">
        <is>
          <t>research and development</t>
        </is>
      </c>
      <c r="E71" s="11" t="inlineStr">
        <is>
          <t>PDF p.24 (印刷頁 23)</t>
        </is>
      </c>
      <c r="F71" s="11" t="inlineStr">
        <is>
          <t>der the Jinmei Agreement triggered by Cross-Default Clause, which have been resolved up to date of this report, as disclosed in the “Research and development and sale of functional food” of “Management Discussion and Analysis” section, there were no material and significant dispute between the Group and its key stakeholders that have a significant impact on the Group. The Group will continue to ensure effective communication and maintain good relationship with each of its key stakeholders. RESULTS AND DIVIDENDS The Group’s loss</t>
        </is>
      </c>
    </row>
    <row r="72">
      <c r="A72" s="8" t="inlineStr">
        <is>
          <t>R&amp;D Expenditure</t>
        </is>
      </c>
      <c r="B72" s="8" t="inlineStr">
        <is>
          <t>研發開支</t>
        </is>
      </c>
      <c r="C72" s="8" t="inlineStr">
        <is>
          <t>medium</t>
        </is>
      </c>
      <c r="D72" s="11" t="inlineStr">
        <is>
          <t>research and development</t>
        </is>
      </c>
      <c r="E72" s="11" t="inlineStr">
        <is>
          <t>PDF p.92 (印刷頁 91)</t>
        </is>
      </c>
      <c r="F72" s="11" t="inlineStr">
        <is>
          <t>ngaged in distribution and service in medical equipment and consumables, provision of hospital operation and management services and research and development and sale of functional foods. 2. GOING CONCERN BASIS MULTUPLE UNCERTAINTIES RELATED TO GOING CONCERN As at 31 March 2025, the Group incurred a loss of approximately HK$67,821,000 for the year ended 31 March 2025 and the Group had net current liabilities of approximately HK$17,345,000. In addition, the Group had outstanding bank borrowings, trade payables and other payables</t>
        </is>
      </c>
    </row>
    <row r="73">
      <c r="A73" s="8" t="inlineStr">
        <is>
          <t>R&amp;D Expenditure</t>
        </is>
      </c>
      <c r="B73" s="8" t="inlineStr">
        <is>
          <t>研發開支</t>
        </is>
      </c>
      <c r="C73" s="8" t="inlineStr">
        <is>
          <t>medium</t>
        </is>
      </c>
      <c r="D73" s="11" t="inlineStr">
        <is>
          <t>research and development</t>
        </is>
      </c>
      <c r="E73" s="11" t="inlineStr">
        <is>
          <t>PDF p.105 (印刷頁 104)</t>
        </is>
      </c>
      <c r="F73" s="11" t="inlineStr">
        <is>
          <t>stribution and service in medical equipment and consumables; • Hospital operation and management services; • Business service; and • Research and development and sale of functional food. 104</t>
        </is>
      </c>
    </row>
    <row r="74">
      <c r="A74" s="8" t="inlineStr">
        <is>
          <t>R&amp;D Expenditure</t>
        </is>
      </c>
      <c r="B74" s="8" t="inlineStr">
        <is>
          <t>研發開支</t>
        </is>
      </c>
      <c r="C74" s="8" t="inlineStr">
        <is>
          <t>medium</t>
        </is>
      </c>
      <c r="D74" s="11" t="inlineStr">
        <is>
          <t>research and development</t>
        </is>
      </c>
      <c r="E74" s="11" t="inlineStr">
        <is>
          <t>PDF p.122 (印刷頁 121)</t>
        </is>
      </c>
      <c r="F74" s="11" t="inlineStr">
        <is>
          <t>K$’000 Hospital operation and management service – 8,890 Distribution and service in medical equipment and consumables 13,561 13,787 Research and development and sale of functional food – 2,956 13,561 25,633 Hospital operation and management service During the year ended 31 March 2020, the Group acquired 100% issued share capital of Anping Kangrong Hospital Co., Ltd and goodwill of approximately HK$22,890,000 was recognised upon the acquisition. The recoverable amount of the hospital management business CGU has been determined</t>
        </is>
      </c>
    </row>
    <row r="75">
      <c r="A75" s="8" t="inlineStr">
        <is>
          <t>R&amp;D Expenditure</t>
        </is>
      </c>
      <c r="B75" s="8" t="inlineStr">
        <is>
          <t>研發開支</t>
        </is>
      </c>
      <c r="C75" s="8" t="inlineStr">
        <is>
          <t>medium</t>
        </is>
      </c>
      <c r="D75" s="11" t="inlineStr">
        <is>
          <t>research and development</t>
        </is>
      </c>
      <c r="E75" s="11" t="inlineStr">
        <is>
          <t>PDF p.123 (印刷頁 122)</t>
        </is>
      </c>
      <c r="F75" s="11" t="inlineStr">
        <is>
          <t>ended 31 March 2025, management of the Group determined that impairment loss of approximately HK$Nil (2024: HK$Nil) was recognised. Research and development and sale of functional food On 16 November 2023, the Group acquired 100% equity interest of Jinmei Developments Limited and goodwill of approximately HK$2,890,000 was recognised upon the acquisition. The recoverable amount of the research and development and sale of functional food CGU has been determined based on a value in use calculation and based on a valuation by an i</t>
        </is>
      </c>
    </row>
    <row r="76">
      <c r="A76" s="8" t="inlineStr">
        <is>
          <t>R&amp;D Expenditure</t>
        </is>
      </c>
      <c r="B76" s="8" t="inlineStr">
        <is>
          <t>研發開支</t>
        </is>
      </c>
      <c r="C76" s="8" t="inlineStr">
        <is>
          <t>medium</t>
        </is>
      </c>
      <c r="D76" s="11" t="inlineStr">
        <is>
          <t>research and development</t>
        </is>
      </c>
      <c r="E76" s="11" t="inlineStr">
        <is>
          <t>PDF p.128 (印刷頁 127)</t>
        </is>
      </c>
      <c r="F76" s="11" t="inlineStr">
        <is>
          <t>try of Science and Technology of the PRC. The Bochuang Fund has invested in several projects engaging in medical equipment business, research and development and sale of implantable drugs for cancer treatment and development and operation of digital healthcare services platform. Upon capital contribution of RMB30 million by Zhongwei Health to Beijing Qihui, Zhongwei Health will be interested in 16.6% partnership interest in Beijing Qihui. Zhongwei Health’s percentage interest in the Beijing Qihui’s profit or loss shall be dilut</t>
        </is>
      </c>
    </row>
    <row r="77">
      <c r="A77" s="8" t="inlineStr">
        <is>
          <t>R&amp;D Expenditure</t>
        </is>
      </c>
      <c r="B77" s="8" t="inlineStr">
        <is>
          <t>研發開支</t>
        </is>
      </c>
      <c r="C77" s="8" t="inlineStr">
        <is>
          <t>medium</t>
        </is>
      </c>
      <c r="D77" s="11" t="inlineStr">
        <is>
          <t>research and development</t>
        </is>
      </c>
      <c r="E77" s="11" t="inlineStr">
        <is>
          <t>PDF p.152 (印刷頁 151)</t>
        </is>
      </c>
      <c r="F77" s="11" t="inlineStr">
        <is>
          <t>ity date subject to the guarantor paying the adjusted amount (if any) to the Company simultaneously. Jinmei Group was engaged in the research and development and sale of functional foods for the prevention of cardiovascular and cerebrovascular diseases. Pursuant to the sales and purchase agreement in the acquisition of Jinmei Group, the profit guarantee for the Jinmei Group’s net profit after tax for the years ending 31 December 2024 and 2025 shall not be less than RMB15,000,000 (equivalent to approximately HK$16,100,000) and R</t>
        </is>
      </c>
    </row>
    <row r="78">
      <c r="A78" s="8" t="inlineStr">
        <is>
          <t>Segment Information</t>
        </is>
      </c>
      <c r="B78" s="8" t="inlineStr">
        <is>
          <t>分部資料</t>
        </is>
      </c>
      <c r="C78" s="8" t="inlineStr">
        <is>
          <t>medium</t>
        </is>
      </c>
      <c r="D78" s="11" t="inlineStr">
        <is>
          <t>segment information</t>
        </is>
      </c>
      <c r="E78" s="11" t="inlineStr">
        <is>
          <t>PDF p.105 (印刷頁 104)</t>
        </is>
      </c>
      <c r="F78" s="11" t="inlineStr">
        <is>
          <t>risks, including the consideration of factors such as general economy measure, changes in macroeconomic indicators etc. 6. OPERATING SEGMENT INFORMATION The Group’s operating segments, based on information reported to the executive directors being the chief operating decision maker (the “CODM”), for the purpose of resource allocation and assessment of segment performance focus on types of goods or services delivered or rendered. For management purposes the Group is organised into business units based on their products and servi</t>
        </is>
      </c>
    </row>
    <row r="79">
      <c r="A79" s="8" t="inlineStr">
        <is>
          <t>Segment Information</t>
        </is>
      </c>
      <c r="B79" s="8" t="inlineStr">
        <is>
          <t>分部資料</t>
        </is>
      </c>
      <c r="C79" s="8" t="inlineStr">
        <is>
          <t>medium</t>
        </is>
      </c>
      <c r="D79" s="11" t="inlineStr">
        <is>
          <t>segment information</t>
        </is>
      </c>
      <c r="E79" s="11" t="inlineStr">
        <is>
          <t>PDF p.106 (印刷頁 105)</t>
        </is>
      </c>
      <c r="F79" s="11" t="inlineStr">
        <is>
          <t>LIMITED ANNUAL REPORT 2025 Notes to the Consolidated Financial Statements (Continued) For the year ended 31 March 2025 6. OPERATING SEGMENT INFORMATION (Continued) The following is an analysis of the Group’s revenue and results by operating segments for the year ended 31 March 2025 and 2024: For the year ended 31 March 2025 Distribution and Research and service in medical Hospital operation development and equipment and and management Business sale of functional consumables services service food Total HK$’000 HK$’000 HK$’000 H</t>
        </is>
      </c>
    </row>
    <row r="80">
      <c r="A80" s="8" t="inlineStr">
        <is>
          <t>Segment Information</t>
        </is>
      </c>
      <c r="B80" s="8" t="inlineStr">
        <is>
          <t>分部資料</t>
        </is>
      </c>
      <c r="C80" s="8" t="inlineStr">
        <is>
          <t>medium</t>
        </is>
      </c>
      <c r="D80" s="11" t="inlineStr">
        <is>
          <t>segment information</t>
        </is>
      </c>
      <c r="E80" s="11" t="inlineStr">
        <is>
          <t>PDF p.107 (印刷頁 106)</t>
        </is>
      </c>
      <c r="F80" s="11" t="inlineStr">
        <is>
          <t>LIMITED ANNUAL REPORT 2025 Notes to the Consolidated Financial Statements (Continued) For the year ended 31 March 2025 6. OPERATING SEGMENT INFORMATION (Continued) The accounting policies of the operating segments are the same as the Group’s accounting policies. Segment result represents the profit earned by/(loss suffered) from each segment without allocation of central administration costs, unallocated other income, directors’ emoluments and unallocated finance costs. This is the measure reported to the CODM for the purposes</t>
        </is>
      </c>
    </row>
    <row r="81">
      <c r="A81" s="8" t="inlineStr">
        <is>
          <t>Segment Information</t>
        </is>
      </c>
      <c r="B81" s="8" t="inlineStr">
        <is>
          <t>分部資料</t>
        </is>
      </c>
      <c r="C81" s="8" t="inlineStr">
        <is>
          <t>medium</t>
        </is>
      </c>
      <c r="D81" s="11" t="inlineStr">
        <is>
          <t>segment information</t>
        </is>
      </c>
      <c r="E81" s="11" t="inlineStr">
        <is>
          <t>PDF p.108 (印刷頁 107)</t>
        </is>
      </c>
      <c r="F81" s="11" t="inlineStr">
        <is>
          <t>LIMITED ANNUAL REPORT 2025 Notes to the Consolidated Financial Statements (Continued) For the year ended 31 March 2025 6. OPERATING SEGMENT INFORMATION (Continued) Segment assets excluded other corporate assets as these assets are managed on a group basis. Segment liabilities excluded corporate liabilities as these liabilities are managed on a group basis. Other segment information For the year ended 31 March 2025 Distribution Research and and service in Hospital development medical operation and and sale of equipment and mana</t>
        </is>
      </c>
    </row>
    <row r="82">
      <c r="A82" s="8" t="inlineStr">
        <is>
          <t>Segment Information</t>
        </is>
      </c>
      <c r="B82" s="8" t="inlineStr">
        <is>
          <t>分部資料</t>
        </is>
      </c>
      <c r="C82" s="8" t="inlineStr">
        <is>
          <t>medium</t>
        </is>
      </c>
      <c r="D82" s="11" t="inlineStr">
        <is>
          <t>segment information</t>
        </is>
      </c>
      <c r="E82" s="11" t="inlineStr">
        <is>
          <t>PDF p.109 (印刷頁 108)</t>
        </is>
      </c>
      <c r="F82" s="11" t="inlineStr">
        <is>
          <t>LIMITED ANNUAL REPORT 2025 Notes to the Consolidated Financial Statements (Continued) For the year ended 31 March 2025 6. OPERATING SEGMENT INFORMATION (Continued) Other segment information (Continued) For the year ended 31 March 2024 Distribution Research and and service in Hospital development medical operation and and sale of equipment and management Business functional consumables services service food Unallocated Total HK$’000 HK$’000 HK$’000 HK$’000 HK$’000 HK$’000 Amounts included in the measure of segment profit or los</t>
        </is>
      </c>
    </row>
    <row r="83">
      <c r="A83" s="8" t="inlineStr">
        <is>
          <t>Segment Information</t>
        </is>
      </c>
      <c r="B83" s="8" t="inlineStr">
        <is>
          <t>分部資料</t>
        </is>
      </c>
      <c r="C83" s="8" t="inlineStr">
        <is>
          <t>medium</t>
        </is>
      </c>
      <c r="D83" s="11" t="inlineStr">
        <is>
          <t>segment information</t>
        </is>
      </c>
      <c r="E83" s="11" t="inlineStr">
        <is>
          <t>PDF p.110 (印刷頁 109)</t>
        </is>
      </c>
      <c r="F83" s="11" t="inlineStr">
        <is>
          <t>LIMITED ANNUAL REPORT 2025 Notes to the Consolidated Financial Statements (Continued) For the year ended 31 March 2025 6. OPERATING SEGMENT INFORMATION (Continued) Information about major customers 2025 2024 HK$’000 HK$’000 Customer A1 5,364 8,739 1. Revenue from distribution and service in medical equipment and consumables. Except for disclosed above, no other customer contributed over 10% of the Group’s total revenue both years. 7. REVENUE 2025 2024 HK$’000 HK$’000 Revenue from contracts with customers Income from distributi</t>
        </is>
      </c>
    </row>
    <row r="84">
      <c r="A84" s="8" t="inlineStr">
        <is>
          <t>Segment Information</t>
        </is>
      </c>
      <c r="B84" s="8" t="inlineStr">
        <is>
          <t>分部資料</t>
        </is>
      </c>
      <c r="C84" s="8" t="inlineStr">
        <is>
          <t>medium</t>
        </is>
      </c>
      <c r="D84" s="11" t="inlineStr">
        <is>
          <t>operating segment</t>
        </is>
      </c>
      <c r="E84" s="11" t="inlineStr">
        <is>
          <t>PDF p.164 (印刷頁 163)</t>
        </is>
      </c>
      <c r="F84" s="11" t="inlineStr">
        <is>
          <t>d) For the year ended 31 March 2025 42. SUMMARY OF OTHER POTENTIALLY MATERIAL ACCOUNTING POLICIES (Continued) 42.3 Segment reporting Operating segments are reported in a manner consistent with the internal reporting provided to the chief operating decision maker. The Board of China Health Group Limited has appointed a strategic steering committee which assesses the financial performance and position of the Group and makes strategic decisions. The steering committee is the group’s chief operating decision maker and consists of t</t>
        </is>
      </c>
    </row>
    <row r="85">
      <c r="A85" s="8" t="inlineStr">
        <is>
          <t>Segment Information</t>
        </is>
      </c>
      <c r="B85" s="8" t="inlineStr">
        <is>
          <t>分部資料</t>
        </is>
      </c>
      <c r="C85" s="8" t="inlineStr">
        <is>
          <t>medium</t>
        </is>
      </c>
      <c r="D85" s="11" t="inlineStr">
        <is>
          <t>operating segment</t>
        </is>
      </c>
      <c r="E85" s="11" t="inlineStr">
        <is>
          <t>PDF p.166 (印刷頁 165)</t>
        </is>
      </c>
      <c r="F85" s="11" t="inlineStr">
        <is>
          <t>its or groups of units are identified at the lowest level at which goodwill is monitored for internal management purposes, being the operating segments (Note 6). 165</t>
        </is>
      </c>
    </row>
    <row r="86">
      <c r="A86" s="8" t="inlineStr">
        <is>
          <t>Share-based Payment</t>
        </is>
      </c>
      <c r="B86" s="8" t="inlineStr">
        <is>
          <t>以股份為基礎的付款</t>
        </is>
      </c>
      <c r="C86" s="8" t="inlineStr">
        <is>
          <t>medium</t>
        </is>
      </c>
      <c r="D86" s="11" t="inlineStr">
        <is>
          <t>share option</t>
        </is>
      </c>
      <c r="E86" s="11" t="inlineStr">
        <is>
          <t>PDF p.18 (印刷頁 17)</t>
        </is>
      </c>
      <c r="F86" s="11" t="inlineStr">
        <is>
          <t>etirement plans and a discretionary bonus payment which is linked to the profit performance of the Group and individual performance. Share option schemes have also been established for employees of the Group. No share options were granted, lapsed or cancelled during the year. There were 19,050,000 outstanding share options as at 31 March 2025. 17</t>
        </is>
      </c>
    </row>
    <row r="87">
      <c r="A87" s="8" t="inlineStr">
        <is>
          <t>Share-based Payment</t>
        </is>
      </c>
      <c r="B87" s="8" t="inlineStr">
        <is>
          <t>以股份為基礎的付款</t>
        </is>
      </c>
      <c r="C87" s="8" t="inlineStr">
        <is>
          <t>medium</t>
        </is>
      </c>
      <c r="D87" s="11" t="inlineStr">
        <is>
          <t>share option</t>
        </is>
      </c>
      <c r="E87" s="11" t="inlineStr">
        <is>
          <t>PDF p.27 (印刷頁 26)</t>
        </is>
      </c>
      <c r="F87" s="11" t="inlineStr">
        <is>
          <t>CHINA HEALTH GROUP LIMITED ANNUAL REPORT 2025 Report of the Directors DIRECTORS’ AND CHIEF EXECUTIVES’ INTERESTS IN SECURITIES AND SHARE OPTIONS As at 31 March 2025, the interests and short positions of the Directors/Chief Executives in the shares, underlying shares and debentures of the Company and its associated corporations (within the meaning of the Part XV of the Securities and Futures Ordinance (the ”SFO”)) which (a) were required to be notified to the Company and the Stock Exchange pursuant to Divisions 7 and 8 of Part</t>
        </is>
      </c>
    </row>
    <row r="88">
      <c r="A88" s="8" t="inlineStr">
        <is>
          <t>Share-based Payment</t>
        </is>
      </c>
      <c r="B88" s="8" t="inlineStr">
        <is>
          <t>以股份為基礎的付款</t>
        </is>
      </c>
      <c r="C88" s="8" t="inlineStr">
        <is>
          <t>medium</t>
        </is>
      </c>
      <c r="D88" s="11" t="inlineStr">
        <is>
          <t>share option</t>
        </is>
      </c>
      <c r="E88" s="11" t="inlineStr">
        <is>
          <t>PDF p.30 (印刷頁 29)</t>
        </is>
      </c>
      <c r="F88" s="11" t="inlineStr">
        <is>
          <t>CHINA HEALTH GROUP LIMITED ANNUAL REPORT 2025 Report of the Directors SHARE OPTION SCHEMES The Company operated a share option scheme which was effective from 28 August 2012 with a period of 10 years from 28 August 2012 (the “2012 Share Option Scheme”). In light of the expiry of the 2012 Share Option Scheme, the Board adopted a new share option scheme (“2023 Share Option Scheme”), which was approved by the shareholders of the Company on 18 September 2023. The 2023 S</t>
        </is>
      </c>
    </row>
    <row r="89">
      <c r="A89" s="8" t="inlineStr">
        <is>
          <t>Share-based Payment</t>
        </is>
      </c>
      <c r="B89" s="8" t="inlineStr">
        <is>
          <t>以股份為基礎的付款</t>
        </is>
      </c>
      <c r="C89" s="8" t="inlineStr">
        <is>
          <t>medium</t>
        </is>
      </c>
      <c r="D89" s="11" t="inlineStr">
        <is>
          <t>share option</t>
        </is>
      </c>
      <c r="E89" s="11" t="inlineStr">
        <is>
          <t>PDF p.31 (印刷頁 30)</t>
        </is>
      </c>
      <c r="F89" s="11" t="inlineStr">
        <is>
          <t>ANNUAL REPORT 2025 Report of the Directors The following table discloses details of options outstanding and movements under the 2012 Share Option Scheme during the year: Closing price of the Company’s share Number of share options immediately Lapsed/ before Granted Exercised Adjusted forfeited Reclassified As at Exercise Exercise Date of the date Name or At during during during during during 31 period of price of grant of of grant category 1 April the the the the the March share share share of share of participant 2024 year yea</t>
        </is>
      </c>
    </row>
    <row r="90">
      <c r="A90" s="8" t="inlineStr">
        <is>
          <t>Share-based Payment</t>
        </is>
      </c>
      <c r="B90" s="8" t="inlineStr">
        <is>
          <t>以股份為基礎的付款</t>
        </is>
      </c>
      <c r="C90" s="8" t="inlineStr">
        <is>
          <t>medium</t>
        </is>
      </c>
      <c r="D90" s="11" t="inlineStr">
        <is>
          <t>share option</t>
        </is>
      </c>
      <c r="E90" s="11" t="inlineStr">
        <is>
          <t>PDF p.32 (印刷頁 31)</t>
        </is>
      </c>
      <c r="F90" s="11" t="inlineStr">
        <is>
          <t>CHINA HEALTH GROUP LIMITED ANNUAL REPORT 2025 Report of the Directors Closing price of the Company’s share Number of share options immediately Lapsed/ before Granted Exercised Adjusted forfeited Reclassified As at Exercise Exercise Date of the date Name or At during during during during during 31 period of price of grant of of grant category 1 April the the the the the March share share share of share of participant 2024 year year year year year 2025 options options options options HK$ HK$ Mr. Huang Lianhai 300,</t>
        </is>
      </c>
    </row>
    <row r="91">
      <c r="A91" s="8" t="inlineStr">
        <is>
          <t>Share-based Payment</t>
        </is>
      </c>
      <c r="B91" s="8" t="inlineStr">
        <is>
          <t>以股份為基礎的付款</t>
        </is>
      </c>
      <c r="C91" s="8" t="inlineStr">
        <is>
          <t>medium</t>
        </is>
      </c>
      <c r="D91" s="11" t="inlineStr">
        <is>
          <t>share option</t>
        </is>
      </c>
      <c r="E91" s="11" t="inlineStr">
        <is>
          <t>PDF p.33 (印刷頁 32)</t>
        </is>
      </c>
      <c r="F91" s="11" t="inlineStr">
        <is>
          <t>CHINA HEALTH GROUP LIMITED ANNUAL REPORT 2025 Report of the Directors Closing price of the Company’s share Number of share options immediately Lapsed/ before Granted Exercised Adjusted forfeited Reclassified As at Exercise Exercise Date of the date Name or At during during during during during 31 period of price of grant of of grant category 1 April the the the the the March share share share of share of participant 2024 year year year year year 2025 options options options options HK$ HK$ Employees – – – – – –</t>
        </is>
      </c>
    </row>
    <row r="92">
      <c r="A92" s="8" t="inlineStr">
        <is>
          <t>Share-based Payment</t>
        </is>
      </c>
      <c r="B92" s="8" t="inlineStr">
        <is>
          <t>以股份為基礎的付款</t>
        </is>
      </c>
      <c r="C92" s="8" t="inlineStr">
        <is>
          <t>medium</t>
        </is>
      </c>
      <c r="D92" s="11" t="inlineStr">
        <is>
          <t>share-based payment</t>
        </is>
      </c>
      <c r="E92" s="11" t="inlineStr">
        <is>
          <t>PDF p.89 (印刷頁 88)</t>
        </is>
      </c>
      <c r="F92" s="11" t="inlineStr">
        <is>
          <t>represents the fair value of unexercised share options granted by the Company recognised in accordance with the accounting policy of share-based payments set out in Note 42.18 to the consolidated financial statements. (e) Other reserve The other reserve represents the equity transaction in relation to the further acquisition of a nonwholly owned subsidiary during the year ended 31 March 2022. On 21 May 2021, the Group indirectly own a 75% equity interest in the Bloom King Corporation Limited (“Bloom King”) and the effective e</t>
        </is>
      </c>
    </row>
    <row r="93">
      <c r="A93" s="8" t="inlineStr">
        <is>
          <t>Share-based Payment</t>
        </is>
      </c>
      <c r="B93" s="8" t="inlineStr">
        <is>
          <t>以股份為基礎的付款</t>
        </is>
      </c>
      <c r="C93" s="8" t="inlineStr">
        <is>
          <t>medium</t>
        </is>
      </c>
      <c r="D93" s="11" t="inlineStr">
        <is>
          <t>share option</t>
        </is>
      </c>
      <c r="E93" s="11" t="inlineStr">
        <is>
          <t>PDF p.116 (印刷頁 115)</t>
        </is>
      </c>
      <c r="F93" s="11" t="inlineStr">
        <is>
          <t>under which a director waived or agreed to waive any remuneration during the year. During the year ended 31 March 2025 and 2024, no share option of the Company was granted to the directors in respect of their services provided to the Group under a share option scheme of the Company. The executive directors’ emoluments and non-executive directors’ emoluments shown above were for their services in connection with the management of the affairs of the Company and the Group. The independent non-executive directors’ emoluments shown</t>
        </is>
      </c>
    </row>
    <row r="94">
      <c r="A94" s="8" t="inlineStr">
        <is>
          <t>Share-based Payment</t>
        </is>
      </c>
      <c r="B94" s="8" t="inlineStr">
        <is>
          <t>以股份為基礎的付款</t>
        </is>
      </c>
      <c r="C94" s="8" t="inlineStr">
        <is>
          <t>medium</t>
        </is>
      </c>
      <c r="D94" s="11" t="inlineStr">
        <is>
          <t>share option</t>
        </is>
      </c>
      <c r="E94" s="11" t="inlineStr">
        <is>
          <t>PDF p.142 (印刷頁 141)</t>
        </is>
      </c>
      <c r="F94" s="11" t="inlineStr">
        <is>
          <t>– (76,898) (76,898) Issue of consideration shares 8,641 – – – 8,641 As at 31 March 2025 16,849 57,124 6,308 (205,930) (125,649) 34. SHARE OPTIONS SCHEME The Company operated a share option scheme which was expired on 7 April 2012 (the “Old Scheme”) and a new share option scheme (the “New Scheme”) was approved by the shareholders of the Company on 28 August 2012. The purpose of the both share option schemes is to reward the eligible participants of the Group who have contributed or are expected to contribute the Group and to en</t>
        </is>
      </c>
    </row>
    <row r="95">
      <c r="A95" s="8" t="inlineStr">
        <is>
          <t>Share-based Payment</t>
        </is>
      </c>
      <c r="B95" s="8" t="inlineStr">
        <is>
          <t>以股份為基礎的付款</t>
        </is>
      </c>
      <c r="C95" s="8" t="inlineStr">
        <is>
          <t>medium</t>
        </is>
      </c>
      <c r="D95" s="11" t="inlineStr">
        <is>
          <t>share option</t>
        </is>
      </c>
      <c r="E95" s="11" t="inlineStr">
        <is>
          <t>PDF p.143 (印刷頁 142)</t>
        </is>
      </c>
      <c r="F95" s="11" t="inlineStr">
        <is>
          <t>LTH GROUP LIMITED ANNUAL REPORT 2025 Notes to the Consolidated Financial Statements (Continued) For the year ended 31 March 2025 34. SHARE OPTIONS SCHEME (Continued) The 2023 Scheme become effective for a period of 10 years commencing on 18 September 2023. Under the New Scheme, the Board of Directors of the Company may grant options to eligible officers and employees, including the directors of the Company and its subsidiaries (“Eligible Persons”), to subscribe for shares in the Company. Additionally, the Company may, from time</t>
        </is>
      </c>
    </row>
    <row r="96">
      <c r="A96" s="8" t="inlineStr">
        <is>
          <t>Share-based Payment</t>
        </is>
      </c>
      <c r="B96" s="8" t="inlineStr">
        <is>
          <t>以股份為基礎的付款</t>
        </is>
      </c>
      <c r="C96" s="8" t="inlineStr">
        <is>
          <t>medium</t>
        </is>
      </c>
      <c r="D96" s="11" t="inlineStr">
        <is>
          <t>share option</t>
        </is>
      </c>
      <c r="E96" s="11" t="inlineStr">
        <is>
          <t>PDF p.144 (印刷頁 143)</t>
        </is>
      </c>
      <c r="F96" s="11" t="inlineStr">
        <is>
          <t>LTH GROUP LIMITED ANNUAL REPORT 2025 Notes to the Consolidated Financial Statements (Continued) For the year ended 31 March 2025 34. SHARE OPTIONS SCHEME (Continued) Details of the specific categories of options are as follows: Option C Option B Option A Grant date 20 October 2020 26 April 2019 19 May 2017 Vesting Period (Note a) 20 October 2020 (T1) 26 April 2019 to 19 May 2017 27 April 2020 (T2) 26 April 2019 to 27 April 2021 (T3) 26 April 2019 to 27 April 2022 Exercise period 21October 2020 to (T1) 27 April 2020 to 19 May 20</t>
        </is>
      </c>
    </row>
    <row r="97">
      <c r="A97" s="8" t="inlineStr">
        <is>
          <t>Share-based Payment</t>
        </is>
      </c>
      <c r="B97" s="8" t="inlineStr">
        <is>
          <t>以股份為基礎的付款</t>
        </is>
      </c>
      <c r="C97" s="8" t="inlineStr">
        <is>
          <t>medium</t>
        </is>
      </c>
      <c r="D97" s="11" t="inlineStr">
        <is>
          <t>share option</t>
        </is>
      </c>
      <c r="E97" s="11" t="inlineStr">
        <is>
          <t>PDF p.145 (印刷頁 144)</t>
        </is>
      </c>
      <c r="F97" s="11" t="inlineStr">
        <is>
          <t>LTH GROUP LIMITED ANNUAL REPORT 2025 Notes to the Consolidated Financial Statements (Continued) For the year ended 31 March 2025 34. SHARE OPTIONS SCHEME (Continued) The following tables summarise the movements in the Company’s share options during the year ended 31 March 2025 and 31 March 2024: Director Employee/eligible person Weighted Weighted average Number of average Number of exercise price share option exercise price share option (HK$) (HK$) As at 1 April 2023, 31 March 2024, 1 April 2024 and 31 March 2025 1.8 11,200,000</t>
        </is>
      </c>
    </row>
    <row r="98">
      <c r="A98" s="8" t="inlineStr">
        <is>
          <t>Share-based Payment</t>
        </is>
      </c>
      <c r="B98" s="8" t="inlineStr">
        <is>
          <t>以股份為基礎的付款</t>
        </is>
      </c>
      <c r="C98" s="8" t="inlineStr">
        <is>
          <t>medium</t>
        </is>
      </c>
      <c r="D98" s="11" t="inlineStr">
        <is>
          <t>share option</t>
        </is>
      </c>
      <c r="E98" s="11" t="inlineStr">
        <is>
          <t>PDF p.146 (印刷頁 145)</t>
        </is>
      </c>
      <c r="F98" s="11" t="inlineStr">
        <is>
          <t>LTH GROUP LIMITED ANNUAL REPORT 2025 Notes to the Consolidated Financial Statements (Continued) For the year ended 31 March 2025 34. SHARE OPTIONS SCHEME (Continued) The following table discloses details of options outstanding and movements during the year ended 31 March 2025: (Continued) Closing price of the company’s share Number of share options immediately Lapsed/ before the As at Granted Exercised Adjusted forfeited Reclassified As at Exercise Exercise Date of date of Name of category of 1 April during the during the durin</t>
        </is>
      </c>
    </row>
    <row r="99">
      <c r="A99" s="8" t="inlineStr">
        <is>
          <t>Share-based Payment</t>
        </is>
      </c>
      <c r="B99" s="8" t="inlineStr">
        <is>
          <t>以股份為基礎的付款</t>
        </is>
      </c>
      <c r="C99" s="8" t="inlineStr">
        <is>
          <t>medium</t>
        </is>
      </c>
      <c r="D99" s="11" t="inlineStr">
        <is>
          <t>share option</t>
        </is>
      </c>
      <c r="E99" s="11" t="inlineStr">
        <is>
          <t>PDF p.147 (印刷頁 146)</t>
        </is>
      </c>
      <c r="F99" s="11" t="inlineStr">
        <is>
          <t>LTH GROUP LIMITED ANNUAL REPORT 2025 Notes to the Consolidated Financial Statements (Continued) For the year ended 31 March 2025 34. SHARE OPTIONS SCHEME (Continued) The following table discloses details of options outstanding and movements during the year ended 31 March 2024: Closing price of the company’s share Number of share options immediately Lapsed/ before the As at Granted Exercised Adjusted forfeited Reclassified As at Exercise Exercise Date of date of Name of category of 1 April during the during the during the during</t>
        </is>
      </c>
    </row>
    <row r="100">
      <c r="A100" s="8" t="inlineStr">
        <is>
          <t>Share-based Payment</t>
        </is>
      </c>
      <c r="B100" s="8" t="inlineStr">
        <is>
          <t>以股份為基礎的付款</t>
        </is>
      </c>
      <c r="C100" s="8" t="inlineStr">
        <is>
          <t>medium</t>
        </is>
      </c>
      <c r="D100" s="11" t="inlineStr">
        <is>
          <t>share option</t>
        </is>
      </c>
      <c r="E100" s="11" t="inlineStr">
        <is>
          <t>PDF p.148 (印刷頁 147)</t>
        </is>
      </c>
      <c r="F100" s="11" t="inlineStr">
        <is>
          <t>LTH GROUP LIMITED ANNUAL REPORT 2025 Notes to the Consolidated Financial Statements (Continued) For the year ended 31 March 2025 34. SHARE OPTIONS SCHEME (Continued) The following table discloses details of options outstanding and movements during the year ended 31 March 2024: (Continued) Closing price of the company’s share Number of share options immediately Lapsed/ before the As at Granted Exercised Adjusted forfeited Reclassified As at Exercise Exercise Date of date of Name of category of 1 April during the during the durin</t>
        </is>
      </c>
    </row>
    <row r="101">
      <c r="A101" s="8" t="inlineStr">
        <is>
          <t>Share-based Payment</t>
        </is>
      </c>
      <c r="B101" s="8" t="inlineStr">
        <is>
          <t>以股份為基礎的付款</t>
        </is>
      </c>
      <c r="C101" s="8" t="inlineStr">
        <is>
          <t>medium</t>
        </is>
      </c>
      <c r="D101" s="11" t="inlineStr">
        <is>
          <t>share option</t>
        </is>
      </c>
      <c r="E101" s="11" t="inlineStr">
        <is>
          <t>PDF p.149 (印刷頁 148)</t>
        </is>
      </c>
      <c r="F101" s="11" t="inlineStr">
        <is>
          <t>LTH GROUP LIMITED ANNUAL REPORT 2025 Notes to the Consolidated Financial Statements (Continued) For the year ended 31 March 2025 34. SHARE OPTIONS SCHEME (Continued) Note: Share options were granted to 14 business consultants of the Group which comprises of (i) Qiu Peiyuan, Huang Bin and He Lijuan, the former Directors who have become consultants of the Group providing advices on business development of the Group; (ii)a former employee of the Company, namely Ding Jiuru, who has subsequently become a consultant of the Group prov</t>
        </is>
      </c>
    </row>
    <row r="102">
      <c r="A102" s="8" t="inlineStr">
        <is>
          <t>Share-based Payment</t>
        </is>
      </c>
      <c r="B102" s="8" t="inlineStr">
        <is>
          <t>以股份為基礎的付款</t>
        </is>
      </c>
      <c r="C102" s="8" t="inlineStr">
        <is>
          <t>medium</t>
        </is>
      </c>
      <c r="D102" s="11" t="inlineStr">
        <is>
          <t>share-based payment</t>
        </is>
      </c>
      <c r="E102" s="11" t="inlineStr">
        <is>
          <t>PDF p.175 (印刷頁 174)</t>
        </is>
      </c>
      <c r="F102" s="11" t="inlineStr">
        <is>
          <t>ept the offer. Benefits falling due more than 12 months after the end of the reporting period are discounted to present value. 42.18 Share-based payments Share-based compensation benefits are provided to employees via the Employee Option Plan and an employee share scheme, the executive short-term incentive scheme and share appreciation. Information relating to these schemes is set out in Note 34. Employee options The fair value of options granted under the Employee Option Plan is recognised as an employee benefits expense with</t>
        </is>
      </c>
    </row>
    <row r="103">
      <c r="A103" s="8" t="inlineStr">
        <is>
          <t>Share-based Payment</t>
        </is>
      </c>
      <c r="B103" s="8" t="inlineStr">
        <is>
          <t>以股份為基礎的付款</t>
        </is>
      </c>
      <c r="C103" s="8" t="inlineStr">
        <is>
          <t>medium</t>
        </is>
      </c>
      <c r="D103" s="11" t="inlineStr">
        <is>
          <t>share-based payment</t>
        </is>
      </c>
      <c r="E103" s="11" t="inlineStr">
        <is>
          <t>PDF p.176 (印刷頁 175)</t>
        </is>
      </c>
      <c r="F103" s="11" t="inlineStr">
        <is>
          <t>tements (Continued) For the year ended 31 March 2025 42. SUMMARY OF OTHER POTENTIALLY MATERIAL ACCOUNTING POLICIES (Continued) 42.18 Share-based payments (Continued) Employee options (Continued) The total expense is recognised over the vesting period, which is the period over which all of the specified vesting conditions are to be satisfied. At the end of each period, the entity revises its estimates of the number of options that are expected to vest based on the nonmarket vesting and service conditions. The entity recognises</t>
        </is>
      </c>
    </row>
    <row r="104">
      <c r="A104" s="8" t="inlineStr">
        <is>
          <t>Related Party Transactions</t>
        </is>
      </c>
      <c r="B104" s="8" t="inlineStr">
        <is>
          <t>關聯方交易</t>
        </is>
      </c>
      <c r="C104" s="8" t="inlineStr">
        <is>
          <t>low</t>
        </is>
      </c>
      <c r="D104" s="11" t="inlineStr">
        <is>
          <t>connected transaction</t>
        </is>
      </c>
      <c r="E104" s="11" t="inlineStr">
        <is>
          <t>PDF p.45 (印刷頁 44)</t>
        </is>
      </c>
      <c r="F104" s="11" t="inlineStr">
        <is>
          <t>ecommendation and will: following policies in place in written procedures on notifiable relation to the Listing Rules, transactions, connected transactions, (i) supplement its written policies in respect including: financial information disclosure process, of Listing Rules compliance, to ensure the approval process for submitting effective communication of Listing Rules • “Corporate Governance responses to the Stock Exchange, requirements and the Group’s work Policy” (approved on 1 April approval process for releasing processes</t>
        </is>
      </c>
    </row>
    <row r="105">
      <c r="A105" s="8" t="inlineStr">
        <is>
          <t>Related Party Transactions</t>
        </is>
      </c>
      <c r="B105" s="8" t="inlineStr">
        <is>
          <t>關聯方交易</t>
        </is>
      </c>
      <c r="C105" s="8" t="inlineStr">
        <is>
          <t>low</t>
        </is>
      </c>
      <c r="D105" s="11" t="inlineStr">
        <is>
          <t>connected transaction</t>
        </is>
      </c>
      <c r="E105" s="11" t="inlineStr">
        <is>
          <t>PDF p.46 (印刷頁 45)</t>
        </is>
      </c>
      <c r="F105" s="11" t="inlineStr">
        <is>
          <t>les, i.e. understanding thereof; and been established for the Code. notifiable transactions, (v) prepare acknowledgement letters for connected transactions and (iii) The Company should supplement and signing by Directors and employees to financial information list out the matters in materiality ensure their clear understanding and disclosure process, review and guidelines contained in the compliance with the Group’s policies. approval process for Continuous Disclosure and submission of responses to Communication Policy. All of</t>
        </is>
      </c>
    </row>
    <row r="106">
      <c r="A106" s="8" t="inlineStr">
        <is>
          <t>Related Party Transactions</t>
        </is>
      </c>
      <c r="B106" s="8" t="inlineStr">
        <is>
          <t>關聯方交易</t>
        </is>
      </c>
      <c r="C106" s="8" t="inlineStr">
        <is>
          <t>low</t>
        </is>
      </c>
      <c r="D106" s="11" t="inlineStr">
        <is>
          <t>connected transaction</t>
        </is>
      </c>
      <c r="E106" s="11" t="inlineStr">
        <is>
          <t>PDF p.49 (印刷頁 48)</t>
        </is>
      </c>
      <c r="F106" s="11" t="inlineStr">
        <is>
          <t>Group can accurately identify and monitor its In addition, the connected persons list comprehensive review of the list of connected connected transactions in a timely manner. This is is not regularly distributed to key persons every quarter or half year to ensure expected to be completed within 4 to 6 weeks. personnel of the Group’s subsidiaries the accuracy of the list. to ensure timely identification of The Company will adopt a policy whereby the connected transactions. The company secretary should also regularly company sec</t>
        </is>
      </c>
    </row>
    <row r="107">
      <c r="A107" s="8" t="inlineStr">
        <is>
          <t>Related Party Transactions</t>
        </is>
      </c>
      <c r="B107" s="8" t="inlineStr">
        <is>
          <t>關聯方交易</t>
        </is>
      </c>
      <c r="C107" s="8" t="inlineStr">
        <is>
          <t>low</t>
        </is>
      </c>
      <c r="D107" s="11" t="inlineStr">
        <is>
          <t>related party</t>
        </is>
      </c>
      <c r="E107" s="11" t="inlineStr">
        <is>
          <t>PDF p.156 (印刷頁 155)</t>
        </is>
      </c>
      <c r="F107" s="11" t="inlineStr">
        <is>
          <t>LTH GROUP LIMITED ANNUAL REPORT 2025 Notes to the Consolidated Financial Statements (Continued) For the year ended 31 March 2025 37. RELATED PARTY TRANSACTIONS In addition to the transactions details elsewhere in the consolidated financial statements, the Group entered into the following related party transactions with related parties during the year: (a) Compensation of key management personnel of the Group are set out in Note 12 to the consolidated financial statements. (b) The amounts due to directors were unsecured, interes</t>
        </is>
      </c>
    </row>
    <row r="108">
      <c r="A108" s="8" t="inlineStr">
        <is>
          <t>Related Party Transactions</t>
        </is>
      </c>
      <c r="B108" s="8" t="inlineStr">
        <is>
          <t>關聯方交易</t>
        </is>
      </c>
      <c r="C108" s="8" t="inlineStr">
        <is>
          <t>low</t>
        </is>
      </c>
      <c r="D108" s="11" t="inlineStr">
        <is>
          <t>related party</t>
        </is>
      </c>
      <c r="E108" s="11" t="inlineStr">
        <is>
          <t>PDF p.178 (印刷頁 177)</t>
        </is>
      </c>
      <c r="F108" s="11" t="inlineStr">
        <is>
          <t>ay be expected to influence, or be influenced by, that person in their dealings with the entity. A transaction is considered to be a related party transaction when there is a transfer of resources or obligations between related parties. 43. APPROVAL OF THE CONSOLIDATED FINANCIAL STATEMENTS The consolidated financial statements were approved and authorised for issue by the board of directors of the Company on 4 July 2025. 177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Investment Properties</t>
        </is>
      </c>
    </row>
    <row r="13">
      <c r="A13" s="8" t="inlineStr">
        <is>
          <t>Balance Sheet</t>
        </is>
      </c>
      <c r="B13" s="8" t="inlineStr">
        <is>
          <t>Total Liabilities</t>
        </is>
      </c>
    </row>
    <row r="14">
      <c r="A14" s="8" t="inlineStr">
        <is>
          <t>Cash Flow</t>
        </is>
      </c>
      <c r="B14" s="8" t="inlineStr">
        <is>
          <t>Operating Cash Flow</t>
        </is>
      </c>
    </row>
    <row r="15">
      <c r="A15" s="8" t="inlineStr">
        <is>
          <t>Cash Flow</t>
        </is>
      </c>
      <c r="B15" s="8" t="inlineStr">
        <is>
          <t>Financing Cash Flow</t>
        </is>
      </c>
    </row>
    <row r="18">
      <c r="A18" s="5" t="inlineStr">
        <is>
          <t>二、文字量過低的頁面(疑似掃描頁)</t>
        </is>
      </c>
    </row>
    <row r="19">
      <c r="A19" s="2" t="inlineStr">
        <is>
          <t>這些頁面幾乎抓不到文字,通常是掃描件或純圖表,建議人手翻閱或另行 OCR。</t>
        </is>
      </c>
    </row>
    <row r="21">
      <c r="A21" s="7" t="inlineStr">
        <is>
          <t>PDF 頁碼</t>
        </is>
      </c>
      <c r="B21" s="7" t="inlineStr">
        <is>
          <t>狀態</t>
        </is>
      </c>
    </row>
    <row r="22">
      <c r="A22" s="8" t="n">
        <v>1</v>
      </c>
      <c r="B22"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2026-08-30T13:49:19Z</dcterms:created>
  <dcterms:modified xsi:type="dcterms:W3CDTF">2026-08-30T13:49:19Z</dcterms:modified>
</cp:coreProperties>
</file>
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摘要" sheetId="1" state="visible" r:id="rId1"/>
    <sheet name="Valuation Params 估值參數" sheetId="2" state="visible" r:id="rId2"/>
    <sheet name="Financials 財務數據" sheetId="3" state="visible" r:id="rId3"/>
    <sheet name="Ratios 財務比率" sheetId="4" state="visible" r:id="rId4"/>
    <sheet name="Extracts 主題段落" sheetId="5" state="visible" r:id="rId5"/>
    <sheet name="Review Queue 待覆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164" fontId="4" fillId="0" borderId="0" pivotButton="0" quotePrefix="0" xfId="0"/>
    <xf numFmtId="2" fontId="4" fillId="0" borderId="0" pivotButton="0" quotePrefix="0" xfId="0"/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HKEX 文件資料萃取報告</t>
        </is>
      </c>
    </row>
    <row r="2">
      <c r="A2" s="2" t="inlineStr">
        <is>
          <t>Automated Extraction Report — Business Valuation Support</t>
        </is>
      </c>
    </row>
    <row r="4">
      <c r="A4" s="3" t="inlineStr">
        <is>
          <t>來源文件 Source file</t>
        </is>
      </c>
      <c r="B4" s="4" t="inlineStr">
        <is>
          <t>03056_A_PANDO_INNO_20260731.pdf</t>
        </is>
      </c>
    </row>
    <row r="5">
      <c r="A5" s="3" t="inlineStr">
        <is>
          <t>產生時間 Generated</t>
        </is>
      </c>
      <c r="B5" s="4" t="inlineStr">
        <is>
          <t>2026-08-30 22:16</t>
        </is>
      </c>
    </row>
    <row r="6">
      <c r="A6" s="4" t="inlineStr"/>
      <c r="B6" s="4" t="inlineStr"/>
    </row>
    <row r="7">
      <c r="A7" s="3" t="inlineStr">
        <is>
          <t>總頁數 Total pages</t>
        </is>
      </c>
      <c r="B7" s="4" t="n">
        <v>58</v>
      </c>
    </row>
    <row r="8">
      <c r="A8" s="3" t="inlineStr">
        <is>
          <t>已擷取字元 Characters extracted</t>
        </is>
      </c>
      <c r="B8" s="4" t="n">
        <v>1466</v>
      </c>
    </row>
    <row r="9">
      <c r="A9" s="3" t="inlineStr">
        <is>
          <t>含表格頁數 Pages with tables</t>
        </is>
      </c>
      <c r="B9" s="4" t="n">
        <v>0</v>
      </c>
    </row>
    <row r="10">
      <c r="A10" s="3" t="inlineStr">
        <is>
          <t>需人手/OCR 頁數 Pages needing OCR</t>
        </is>
      </c>
      <c r="B10" s="4" t="n">
        <v>57</v>
      </c>
    </row>
    <row r="11">
      <c r="A11" s="4" t="inlineStr"/>
      <c r="B11" s="4" t="inlineStr"/>
    </row>
    <row r="12">
      <c r="A12" s="3" t="inlineStr">
        <is>
          <t>估值參數擷取筆數 Valuation parameters</t>
        </is>
      </c>
      <c r="B12" s="4" t="n">
        <v>0</v>
      </c>
    </row>
    <row r="13">
      <c r="A13" s="3" t="inlineStr">
        <is>
          <t>財務科目擷取筆數 Financial line items</t>
        </is>
      </c>
      <c r="B13" s="4" t="n">
        <v>0</v>
      </c>
    </row>
    <row r="14">
      <c r="A14" s="3" t="inlineStr">
        <is>
          <t>主題段落擷取筆數 Topic extracts</t>
        </is>
      </c>
      <c r="B14" s="4" t="n">
        <v>0</v>
      </c>
    </row>
    <row r="15">
      <c r="A15" s="3" t="inlineStr">
        <is>
          <t>AI 複核筆數 AI-verified findings</t>
        </is>
      </c>
      <c r="B15" s="4" t="n">
        <v>0</v>
      </c>
    </row>
    <row r="17">
      <c r="A17" s="5" t="inlineStr">
        <is>
          <t>資料完整性檢查 Integrity checks</t>
        </is>
      </c>
    </row>
    <row r="18">
      <c r="A18" s="2" t="inlineStr">
        <is>
          <t>用會計恆等式交叉驗證擷取結果 —— 數字之間本來就該對得上,對不上代表某欄可能抓錯,請翻回來源頁核對。</t>
        </is>
      </c>
    </row>
    <row r="19">
      <c r="A19" s="4" t="inlineStr">
        <is>
          <t>擷取到的科目不足,無法進行交叉驗證</t>
        </is>
      </c>
    </row>
    <row r="21">
      <c r="A21" s="5" t="inlineStr">
        <is>
          <t>方法論 Methodology</t>
        </is>
      </c>
    </row>
    <row r="22">
      <c r="A22" s="4" t="inlineStr">
        <is>
          <t>1. 逐頁擷取文字,全程保留 PDF 頁碼與年報印刷頁碼(可追溯性)。</t>
        </is>
      </c>
    </row>
    <row r="23">
      <c r="A23" s="4" t="inlineStr">
        <is>
          <t>2. 規則層(正則/關鍵字)先把全份文件縮減為少數相關頁面 —— 解決「文件太大」。</t>
        </is>
      </c>
    </row>
    <row r="24">
      <c r="A24" s="4" t="inlineStr">
        <is>
          <t>3. 數字由正則精確擷取並做合理性檢查,不由語言模型生成 —— 解決「準確度」。</t>
        </is>
      </c>
    </row>
    <row r="25">
      <c r="A25" s="4" t="inlineStr">
        <is>
          <t>4. AI 僅在縮減後的頁面上做語意判斷,且輸出頁碼須通過驗證才保留。</t>
        </is>
      </c>
    </row>
    <row r="26">
      <c r="A26" s="4" t="inlineStr">
        <is>
          <t>5. 所有結果附來源頁碼與原文行,供估值師覆核。信心度為 Low 者建議人手確認。</t>
        </is>
      </c>
    </row>
    <row r="27">
      <c r="A27" s="4" t="inlineStr">
        <is>
          <t>6. 支援中英對照年報、破折號(nil)、Profit/(loss) 等港股常見排版。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2" customWidth="1" min="4" max="4"/>
    <col width="14" customWidth="1" min="5" max="5"/>
    <col width="10" customWidth="1" min="6" max="6"/>
    <col width="22" customWidth="1" min="7" max="7"/>
    <col width="90" customWidth="1" min="8" max="8"/>
  </cols>
  <sheetData>
    <row r="1">
      <c r="A1" s="1" t="inlineStr">
        <is>
          <t>估值參數 Benchmark — 可直接併入行內參數資料庫</t>
        </is>
      </c>
    </row>
    <row r="2">
      <c r="A2" s="2" t="inlineStr">
        <is>
          <t>數字由正則式從原文精確擷取,並經合理範圍檢查;非由 AI 生成。</t>
        </is>
      </c>
    </row>
    <row r="4">
      <c r="A4" s="6" t="inlineStr">
        <is>
          <t>參數 Parameter</t>
        </is>
      </c>
      <c r="B4" s="6" t="inlineStr">
        <is>
          <t>中文</t>
        </is>
      </c>
      <c r="C4" s="6" t="inlineStr">
        <is>
          <t>下限 Low (%)</t>
        </is>
      </c>
      <c r="D4" s="6" t="inlineStr">
        <is>
          <t>上限 High (%)</t>
        </is>
      </c>
      <c r="E4" s="6" t="inlineStr">
        <is>
          <t>原文數值</t>
        </is>
      </c>
      <c r="F4" s="6" t="inlineStr">
        <is>
          <t>信心度</t>
        </is>
      </c>
      <c r="G4" s="6" t="inlineStr">
        <is>
          <t>來源頁 Source Page</t>
        </is>
      </c>
      <c r="H4" s="6" t="inlineStr">
        <is>
          <t>上下文 Context</t>
        </is>
      </c>
    </row>
    <row r="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2" customWidth="1" min="5" max="5"/>
    <col width="20" customWidth="1" min="6" max="6"/>
    <col width="70" customWidth="1" min="7" max="7"/>
  </cols>
  <sheetData>
    <row r="1">
      <c r="A1" s="1" t="inlineStr">
        <is>
          <t>三大報表擷取結果</t>
        </is>
      </c>
    </row>
    <row r="2">
      <c r="A2" s="2" t="inlineStr">
        <is>
          <t>偵測到的年度欄位 — 未偵測</t>
        </is>
      </c>
    </row>
    <row r="4">
      <c r="A4" s="6" t="inlineStr">
        <is>
          <t>報表 Statement</t>
        </is>
      </c>
      <c r="B4" s="6" t="inlineStr">
        <is>
          <t>科目 Item</t>
        </is>
      </c>
      <c r="C4" s="6" t="inlineStr">
        <is>
          <t>本年 Current</t>
        </is>
      </c>
      <c r="D4" s="6" t="inlineStr">
        <is>
          <t>上年 Prior</t>
        </is>
      </c>
      <c r="E4" s="6" t="inlineStr">
        <is>
          <t>變動 YoY %</t>
        </is>
      </c>
      <c r="F4" s="6" t="inlineStr">
        <is>
          <t>來源頁</t>
        </is>
      </c>
      <c r="G4" s="6" t="inlineStr">
        <is>
          <t>原文行 Source line</t>
        </is>
      </c>
    </row>
    <row r="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48" customWidth="1" min="4" max="4"/>
  </cols>
  <sheetData>
    <row r="1">
      <c r="A1" s="1" t="inlineStr">
        <is>
          <t>衍生比率 — 全部以公式連結至 Financials 分頁</t>
        </is>
      </c>
    </row>
    <row r="2">
      <c r="A2" s="2" t="inlineStr">
        <is>
          <t>改動 Financials 分頁的數字,本頁會自動重算。</t>
        </is>
      </c>
    </row>
    <row r="4">
      <c r="A4" s="6" t="inlineStr">
        <is>
          <t>比率 Ratio</t>
        </is>
      </c>
      <c r="B4" s="6" t="inlineStr">
        <is>
          <t>本年 Current</t>
        </is>
      </c>
      <c r="C4" s="6" t="inlineStr">
        <is>
          <t>上年 Prior</t>
        </is>
      </c>
      <c r="D4" s="6" t="inlineStr">
        <is>
          <t>說明</t>
        </is>
      </c>
    </row>
    <row r="5">
      <c r="A5" s="4" t="inlineStr">
        <is>
          <t>Gross Margin 毛利率</t>
        </is>
      </c>
      <c r="B5" s="7" t="str">
        <f>IF(ISERROR(INDEX('Financials 財務數據'!$C$5:$C$5,MATCH("Gross Profit",'Financials 財務數據'!$B$5:$B$5,0))/INDEX('Financials 財務數據'!$C$5:$C$5,MATCH("Revenue",'Financials 財務數據'!$B$5:$B$5,0))),"n/a",INDEX('Financials 財務數據'!$C$5:$C$5,MATCH("Gross Profit",'Financials 財務數據'!$B$5:$B$5,0))/INDEX('Financials 財務數據'!$C$5:$C$5,MATCH("Revenue",'Financials 財務數據'!$B$5:$B$5,0)))</f>
        <v>n/a</v>
      </c>
      <c r="C5" s="7" t="str">
        <f>IF(ISERROR(INDEX('Financials 財務數據'!$D$5:$D$5,MATCH("Gross Profit",'Financials 財務數據'!$B$5:$B$5,0))/INDEX('Financials 財務數據'!$D$5:$D$5,MATCH("Revenue",'Financials 財務數據'!$B$5:$B$5,0))),"n/a",INDEX('Financials 財務數據'!$D$5:$D$5,MATCH("Gross Profit",'Financials 財務數據'!$B$5:$B$5,0))/INDEX('Financials 財務數據'!$D$5:$D$5,MATCH("Revenue",'Financials 財務數據'!$B$5:$B$5,0)))</f>
        <v>n/a</v>
      </c>
      <c r="D5" s="2" t="inlineStr">
        <is>
          <t>毛利 ÷ 收入</t>
        </is>
      </c>
    </row>
    <row r="6">
      <c r="A6" s="4" t="inlineStr">
        <is>
          <t>Net Margin 淨利率</t>
        </is>
      </c>
      <c r="B6" s="7" t="str">
        <f>IF(ISERROR(INDEX('Financials 財務數據'!$C$5:$C$5,MATCH("Profit for the Year",'Financials 財務數據'!$B$5:$B$5,0))/INDEX('Financials 財務數據'!$C$5:$C$5,MATCH("Revenue",'Financials 財務數據'!$B$5:$B$5,0))),"n/a",INDEX('Financials 財務數據'!$C$5:$C$5,MATCH("Profit for the Year",'Financials 財務數據'!$B$5:$B$5,0))/INDEX('Financials 財務數據'!$C$5:$C$5,MATCH("Revenue",'Financials 財務數據'!$B$5:$B$5,0)))</f>
        <v>n/a</v>
      </c>
      <c r="C6" s="7" t="str">
        <f>IF(ISERROR(INDEX('Financials 財務數據'!$D$5:$D$5,MATCH("Profit for the Year",'Financials 財務數據'!$B$5:$B$5,0))/INDEX('Financials 財務數據'!$D$5:$D$5,MATCH("Revenue",'Financials 財務數據'!$B$5:$B$5,0))),"n/a",INDEX('Financials 財務數據'!$D$5:$D$5,MATCH("Profit for the Year",'Financials 財務數據'!$B$5:$B$5,0))/INDEX('Financials 財務數據'!$D$5:$D$5,MATCH("Revenue",'Financials 財務數據'!$B$5:$B$5,0)))</f>
        <v>n/a</v>
      </c>
      <c r="D6" s="2" t="inlineStr">
        <is>
          <t>年內溢利 ÷ 收入</t>
        </is>
      </c>
    </row>
    <row r="7">
      <c r="A7" s="4" t="inlineStr">
        <is>
          <t>Current Ratio 流動比率</t>
        </is>
      </c>
      <c r="B7" s="8" t="str">
        <f>IF(ISERROR(INDEX('Financials 財務數據'!$C$5:$C$5,MATCH("Total Current Assets",'Financials 財務數據'!$B$5:$B$5,0))/INDEX('Financials 財務數據'!$C$5:$C$5,MATCH("Total Current Liabilities",'Financials 財務數據'!$B$5:$B$5,0))),"n/a",INDEX('Financials 財務數據'!$C$5:$C$5,MATCH("Total Current Assets",'Financials 財務數據'!$B$5:$B$5,0))/INDEX('Financials 財務數據'!$C$5:$C$5,MATCH("Total Current Liabilities",'Financials 財務數據'!$B$5:$B$5,0)))</f>
        <v>n/a</v>
      </c>
      <c r="C7" s="8" t="str">
        <f>IF(ISERROR(INDEX('Financials 財務數據'!$D$5:$D$5,MATCH("Total Current Assets",'Financials 財務數據'!$B$5:$B$5,0))/INDEX('Financials 財務數據'!$D$5:$D$5,MATCH("Total Current Liabilities",'Financials 財務數據'!$B$5:$B$5,0))),"n/a",INDEX('Financials 財務數據'!$D$5:$D$5,MATCH("Total Current Assets",'Financials 財務數據'!$B$5:$B$5,0))/INDEX('Financials 財務數據'!$D$5:$D$5,MATCH("Total Current Liabilities",'Financials 財務數據'!$B$5:$B$5,0)))</f>
        <v>n/a</v>
      </c>
      <c r="D7" s="2" t="inlineStr">
        <is>
          <t>流動資產 ÷ 流動負債</t>
        </is>
      </c>
    </row>
    <row r="8">
      <c r="A8" s="4" t="inlineStr">
        <is>
          <t>Debt / Equity 負債權益比</t>
        </is>
      </c>
      <c r="B8" s="8" t="str">
        <f>IF(ISERROR(INDEX('Financials 財務數據'!$C$5:$C$5,MATCH("Total Liabilities",'Financials 財務數據'!$B$5:$B$5,0))/INDEX('Financials 財務數據'!$C$5:$C$5,MATCH("Total Equity",'Financials 財務數據'!$B$5:$B$5,0))),"n/a",INDEX('Financials 財務數據'!$C$5:$C$5,MATCH("Total Liabilities",'Financials 財務數據'!$B$5:$B$5,0))/INDEX('Financials 財務數據'!$C$5:$C$5,MATCH("Total Equity",'Financials 財務數據'!$B$5:$B$5,0)))</f>
        <v>n/a</v>
      </c>
      <c r="C8" s="8" t="str">
        <f>IF(ISERROR(INDEX('Financials 財務數據'!$D$5:$D$5,MATCH("Total Liabilities",'Financials 財務數據'!$B$5:$B$5,0))/INDEX('Financials 財務數據'!$D$5:$D$5,MATCH("Total Equity",'Financials 財務數據'!$B$5:$B$5,0))),"n/a",INDEX('Financials 財務數據'!$D$5:$D$5,MATCH("Total Liabilities",'Financials 財務數據'!$B$5:$B$5,0))/INDEX('Financials 財務數據'!$D$5:$D$5,MATCH("Total Equity",'Financials 財務數據'!$B$5:$B$5,0)))</f>
        <v>n/a</v>
      </c>
      <c r="D8" s="2" t="inlineStr">
        <is>
          <t>總負債 ÷ 總權益</t>
        </is>
      </c>
    </row>
    <row r="9">
      <c r="A9" s="4" t="inlineStr">
        <is>
          <t>Goodwill / Total Assets</t>
        </is>
      </c>
      <c r="B9" s="7" t="str">
        <f>IF(ISERROR(INDEX('Financials 財務數據'!$C$5:$C$5,MATCH("Goodwill",'Financials 財務數據'!$B$5:$B$5,0))/INDEX('Financials 財務數據'!$C$5:$C$5,MATCH("Total Assets",'Financials 財務數據'!$B$5:$B$5,0))),"n/a",INDEX('Financials 財務數據'!$C$5:$C$5,MATCH("Goodwill",'Financials 財務數據'!$B$5:$B$5,0))/INDEX('Financials 財務數據'!$C$5:$C$5,MATCH("Total Assets",'Financials 財務數據'!$B$5:$B$5,0)))</f>
        <v>n/a</v>
      </c>
      <c r="C9" s="7" t="str">
        <f>IF(ISERROR(INDEX('Financials 財務數據'!$D$5:$D$5,MATCH("Goodwill",'Financials 財務數據'!$B$5:$B$5,0))/INDEX('Financials 財務數據'!$D$5:$D$5,MATCH("Total Assets",'Financials 財務數據'!$B$5:$B$5,0))),"n/a",INDEX('Financials 財務數據'!$D$5:$D$5,MATCH("Goodwill",'Financials 財務數據'!$B$5:$B$5,0))/INDEX('Financials 財務數據'!$D$5:$D$5,MATCH("Total Assets",'Financials 財務數據'!$B$5:$B$5,0)))</f>
        <v>n/a</v>
      </c>
      <c r="D9" s="2" t="inlineStr">
        <is>
          <t>商譽佔總資產比重 — 減值風險指標</t>
        </is>
      </c>
    </row>
    <row r="10">
      <c r="A10" s="4" t="inlineStr">
        <is>
          <t>Intangibles / Total Assets</t>
        </is>
      </c>
      <c r="B10" s="7" t="str">
        <f>IF(ISERROR(INDEX('Financials 財務數據'!$C$5:$C$5,MATCH("Intangible Assets",'Financials 財務數據'!$B$5:$B$5,0))/INDEX('Financials 財務數據'!$C$5:$C$5,MATCH("Total Assets",'Financials 財務數據'!$B$5:$B$5,0))),"n/a",INDEX('Financials 財務數據'!$C$5:$C$5,MATCH("Intangible Assets",'Financials 財務數據'!$B$5:$B$5,0))/INDEX('Financials 財務數據'!$C$5:$C$5,MATCH("Total Assets",'Financials 財務數據'!$B$5:$B$5,0)))</f>
        <v>n/a</v>
      </c>
      <c r="C10" s="7" t="str">
        <f>IF(ISERROR(INDEX('Financials 財務數據'!$D$5:$D$5,MATCH("Intangible Assets",'Financials 財務數據'!$B$5:$B$5,0))/INDEX('Financials 財務數據'!$D$5:$D$5,MATCH("Total Assets",'Financials 財務數據'!$B$5:$B$5,0))),"n/a",INDEX('Financials 財務數據'!$D$5:$D$5,MATCH("Intangible Assets",'Financials 財務數據'!$B$5:$B$5,0))/INDEX('Financials 財務數據'!$D$5:$D$5,MATCH("Total Assets",'Financials 財務數據'!$B$5:$B$5,0)))</f>
        <v>n/a</v>
      </c>
      <c r="D10" s="2" t="inlineStr">
        <is>
          <t>無形資產佔比</t>
        </is>
      </c>
    </row>
    <row r="11">
      <c r="A11" s="4" t="inlineStr">
        <is>
          <t>ROE 股本回報率</t>
        </is>
      </c>
      <c r="B11" s="7" t="str">
        <f>IF(ISERROR(INDEX('Financials 財務數據'!$C$5:$C$5,MATCH("Profit for the Year",'Financials 財務數據'!$B$5:$B$5,0))/INDEX('Financials 財務數據'!$C$5:$C$5,MATCH("Total Equity",'Financials 財務數據'!$B$5:$B$5,0))),"n/a",INDEX('Financials 財務數據'!$C$5:$C$5,MATCH("Profit for the Year",'Financials 財務數據'!$B$5:$B$5,0))/INDEX('Financials 財務數據'!$C$5:$C$5,MATCH("Total Equity",'Financials 財務數據'!$B$5:$B$5,0)))</f>
        <v>n/a</v>
      </c>
      <c r="C11" s="7" t="str">
        <f>IF(ISERROR(INDEX('Financials 財務數據'!$D$5:$D$5,MATCH("Profit for the Year",'Financials 財務數據'!$B$5:$B$5,0))/INDEX('Financials 財務數據'!$D$5:$D$5,MATCH("Total Equity",'Financials 財務數據'!$B$5:$B$5,0))),"n/a",INDEX('Financials 財務數據'!$D$5:$D$5,MATCH("Profit for the Year",'Financials 財務數據'!$B$5:$B$5,0))/INDEX('Financials 財務數據'!$D$5:$D$5,MATCH("Total Equity",'Financials 財務數據'!$B$5:$B$5,0)))</f>
        <v>n/a</v>
      </c>
      <c r="D11" s="2" t="inlineStr">
        <is>
          <t>年內溢利 ÷ 總權益</t>
        </is>
      </c>
    </row>
    <row r="13">
      <c r="A13" s="2" t="inlineStr">
        <is>
          <t>顯示 "n/a" 表示該科目未在文件中成功擷取,需人手補入。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0" customWidth="1" min="4" max="4"/>
    <col width="20" customWidth="1" min="5" max="5"/>
    <col width="100" customWidth="1" min="6" max="6"/>
  </cols>
  <sheetData>
    <row r="1">
      <c r="A1" s="1" t="inlineStr">
        <is>
          <t>主題式段落擷取 — 供估值師快速定位原文</t>
        </is>
      </c>
    </row>
    <row r="3">
      <c r="A3" s="6" t="inlineStr">
        <is>
          <t>主題 Topic</t>
        </is>
      </c>
      <c r="B3" s="6" t="inlineStr">
        <is>
          <t>中文</t>
        </is>
      </c>
      <c r="C3" s="6" t="inlineStr">
        <is>
          <t>優先</t>
        </is>
      </c>
      <c r="D3" s="6" t="inlineStr">
        <is>
          <t>命中詞</t>
        </is>
      </c>
      <c r="E3" s="6" t="inlineStr">
        <is>
          <t>來源頁</t>
        </is>
      </c>
      <c r="F3" s="6" t="inlineStr">
        <is>
          <t>段落 Snippet</t>
        </is>
      </c>
    </row>
    <row r="4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需要人手處理的項目</t>
        </is>
      </c>
    </row>
    <row r="2">
      <c r="A2" s="2" t="inlineStr">
        <is>
          <t>工具沒抓到的東西會列在這裡,不會靜靜消失 —— 請人手翻閱原文補入。</t>
        </is>
      </c>
    </row>
    <row r="4">
      <c r="A4" s="5" t="inlineStr">
        <is>
          <t>一、未擷取到的財務科目</t>
        </is>
      </c>
    </row>
    <row r="5">
      <c r="A5" s="2" t="inlineStr">
        <is>
          <t>可能原因:該公司未單獨揭露此科目 / 用了工具不認得的措辭 / 位於跨頁或附註中。措辭問題可在 config.py 補上別名。</t>
        </is>
      </c>
    </row>
    <row r="7">
      <c r="A7" s="4" t="inlineStr">
        <is>
          <t>無 — 所有設定的財務科目均已擷取</t>
        </is>
      </c>
    </row>
    <row r="10">
      <c r="A10" s="5" t="inlineStr">
        <is>
          <t>二、文字量過低的頁面(疑似掃描頁)</t>
        </is>
      </c>
    </row>
    <row r="11">
      <c r="A11" s="2" t="inlineStr">
        <is>
          <t>這些頁面幾乎抓不到文字,通常是掃描件或純圖表,建議人手翻閱或另行 OCR。</t>
        </is>
      </c>
    </row>
    <row r="13">
      <c r="A13" s="6" t="inlineStr">
        <is>
          <t>PDF 頁碼</t>
        </is>
      </c>
      <c r="B13" s="6" t="inlineStr">
        <is>
          <t>狀態</t>
        </is>
      </c>
    </row>
    <row r="14">
      <c r="A14" s="9" t="n">
        <v>1</v>
      </c>
      <c r="B14" s="9" t="inlineStr">
        <is>
          <t>文字量過低 — 可能為掃描頁/圖表頁</t>
        </is>
      </c>
    </row>
    <row r="15">
      <c r="A15" s="9" t="n">
        <v>2</v>
      </c>
      <c r="B15" s="9" t="inlineStr">
        <is>
          <t>文字量過低 — 可能為掃描頁/圖表頁</t>
        </is>
      </c>
    </row>
    <row r="16">
      <c r="A16" s="9" t="n">
        <v>3</v>
      </c>
      <c r="B16" s="9" t="inlineStr">
        <is>
          <t>文字量過低 — 可能為掃描頁/圖表頁</t>
        </is>
      </c>
    </row>
    <row r="17">
      <c r="A17" s="9" t="n">
        <v>4</v>
      </c>
      <c r="B17" s="9" t="inlineStr">
        <is>
          <t>文字量過低 — 可能為掃描頁/圖表頁</t>
        </is>
      </c>
    </row>
    <row r="18">
      <c r="A18" s="9" t="n">
        <v>5</v>
      </c>
      <c r="B18" s="9" t="inlineStr">
        <is>
          <t>文字量過低 — 可能為掃描頁/圖表頁</t>
        </is>
      </c>
    </row>
    <row r="19">
      <c r="A19" s="9" t="n">
        <v>6</v>
      </c>
      <c r="B19" s="9" t="inlineStr">
        <is>
          <t>文字量過低 — 可能為掃描頁/圖表頁</t>
        </is>
      </c>
    </row>
    <row r="20">
      <c r="A20" s="9" t="n">
        <v>7</v>
      </c>
      <c r="B20" s="9" t="inlineStr">
        <is>
          <t>文字量過低 — 可能為掃描頁/圖表頁</t>
        </is>
      </c>
    </row>
    <row r="21">
      <c r="A21" s="9" t="n">
        <v>8</v>
      </c>
      <c r="B21" s="9" t="inlineStr">
        <is>
          <t>文字量過低 — 可能為掃描頁/圖表頁</t>
        </is>
      </c>
    </row>
    <row r="22">
      <c r="A22" s="9" t="n">
        <v>9</v>
      </c>
      <c r="B22" s="9" t="inlineStr">
        <is>
          <t>文字量過低 — 可能為掃描頁/圖表頁</t>
        </is>
      </c>
    </row>
    <row r="23">
      <c r="A23" s="9" t="n">
        <v>10</v>
      </c>
      <c r="B23" s="9" t="inlineStr">
        <is>
          <t>文字量過低 — 可能為掃描頁/圖表頁</t>
        </is>
      </c>
    </row>
    <row r="24">
      <c r="A24" s="9" t="n">
        <v>11</v>
      </c>
      <c r="B24" s="9" t="inlineStr">
        <is>
          <t>文字量過低 — 可能為掃描頁/圖表頁</t>
        </is>
      </c>
    </row>
    <row r="25">
      <c r="A25" s="9" t="n">
        <v>12</v>
      </c>
      <c r="B25" s="9" t="inlineStr">
        <is>
          <t>文字量過低 — 可能為掃描頁/圖表頁</t>
        </is>
      </c>
    </row>
    <row r="26">
      <c r="A26" s="9" t="n">
        <v>13</v>
      </c>
      <c r="B26" s="9" t="inlineStr">
        <is>
          <t>文字量過低 — 可能為掃描頁/圖表頁</t>
        </is>
      </c>
    </row>
    <row r="27">
      <c r="A27" s="9" t="n">
        <v>14</v>
      </c>
      <c r="B27" s="9" t="inlineStr">
        <is>
          <t>文字量過低 — 可能為掃描頁/圖表頁</t>
        </is>
      </c>
    </row>
    <row r="28">
      <c r="A28" s="9" t="n">
        <v>15</v>
      </c>
      <c r="B28" s="9" t="inlineStr">
        <is>
          <t>文字量過低 — 可能為掃描頁/圖表頁</t>
        </is>
      </c>
    </row>
    <row r="29">
      <c r="A29" s="9" t="n">
        <v>16</v>
      </c>
      <c r="B29" s="9" t="inlineStr">
        <is>
          <t>文字量過低 — 可能為掃描頁/圖表頁</t>
        </is>
      </c>
    </row>
    <row r="30">
      <c r="A30" s="9" t="n">
        <v>17</v>
      </c>
      <c r="B30" s="9" t="inlineStr">
        <is>
          <t>文字量過低 — 可能為掃描頁/圖表頁</t>
        </is>
      </c>
    </row>
    <row r="31">
      <c r="A31" s="9" t="n">
        <v>18</v>
      </c>
      <c r="B31" s="9" t="inlineStr">
        <is>
          <t>文字量過低 — 可能為掃描頁/圖表頁</t>
        </is>
      </c>
    </row>
    <row r="32">
      <c r="A32" s="9" t="n">
        <v>19</v>
      </c>
      <c r="B32" s="9" t="inlineStr">
        <is>
          <t>文字量過低 — 可能為掃描頁/圖表頁</t>
        </is>
      </c>
    </row>
    <row r="33">
      <c r="A33" s="9" t="n">
        <v>20</v>
      </c>
      <c r="B33" s="9" t="inlineStr">
        <is>
          <t>文字量過低 — 可能為掃描頁/圖表頁</t>
        </is>
      </c>
    </row>
    <row r="34">
      <c r="A34" s="9" t="n">
        <v>21</v>
      </c>
      <c r="B34" s="9" t="inlineStr">
        <is>
          <t>文字量過低 — 可能為掃描頁/圖表頁</t>
        </is>
      </c>
    </row>
    <row r="35">
      <c r="A35" s="9" t="n">
        <v>22</v>
      </c>
      <c r="B35" s="9" t="inlineStr">
        <is>
          <t>文字量過低 — 可能為掃描頁/圖表頁</t>
        </is>
      </c>
    </row>
    <row r="36">
      <c r="A36" s="9" t="n">
        <v>23</v>
      </c>
      <c r="B36" s="9" t="inlineStr">
        <is>
          <t>文字量過低 — 可能為掃描頁/圖表頁</t>
        </is>
      </c>
    </row>
    <row r="37">
      <c r="A37" s="9" t="n">
        <v>24</v>
      </c>
      <c r="B37" s="9" t="inlineStr">
        <is>
          <t>文字量過低 — 可能為掃描頁/圖表頁</t>
        </is>
      </c>
    </row>
    <row r="38">
      <c r="A38" s="9" t="n">
        <v>25</v>
      </c>
      <c r="B38" s="9" t="inlineStr">
        <is>
          <t>文字量過低 — 可能為掃描頁/圖表頁</t>
        </is>
      </c>
    </row>
    <row r="39">
      <c r="A39" s="9" t="n">
        <v>26</v>
      </c>
      <c r="B39" s="9" t="inlineStr">
        <is>
          <t>文字量過低 — 可能為掃描頁/圖表頁</t>
        </is>
      </c>
    </row>
    <row r="40">
      <c r="A40" s="9" t="n">
        <v>27</v>
      </c>
      <c r="B40" s="9" t="inlineStr">
        <is>
          <t>文字量過低 — 可能為掃描頁/圖表頁</t>
        </is>
      </c>
    </row>
    <row r="41">
      <c r="A41" s="9" t="n">
        <v>28</v>
      </c>
      <c r="B41" s="9" t="inlineStr">
        <is>
          <t>文字量過低 — 可能為掃描頁/圖表頁</t>
        </is>
      </c>
    </row>
    <row r="42">
      <c r="A42" s="9" t="n">
        <v>29</v>
      </c>
      <c r="B42" s="9" t="inlineStr">
        <is>
          <t>文字量過低 — 可能為掃描頁/圖表頁</t>
        </is>
      </c>
    </row>
    <row r="43">
      <c r="A43" s="9" t="n">
        <v>30</v>
      </c>
      <c r="B43" s="9" t="inlineStr">
        <is>
          <t>文字量過低 — 可能為掃描頁/圖表頁</t>
        </is>
      </c>
    </row>
    <row r="44">
      <c r="A44" s="9" t="n">
        <v>31</v>
      </c>
      <c r="B44" s="9" t="inlineStr">
        <is>
          <t>文字量過低 — 可能為掃描頁/圖表頁</t>
        </is>
      </c>
    </row>
    <row r="45">
      <c r="A45" s="9" t="n">
        <v>32</v>
      </c>
      <c r="B45" s="9" t="inlineStr">
        <is>
          <t>文字量過低 — 可能為掃描頁/圖表頁</t>
        </is>
      </c>
    </row>
    <row r="46">
      <c r="A46" s="9" t="n">
        <v>33</v>
      </c>
      <c r="B46" s="9" t="inlineStr">
        <is>
          <t>文字量過低 — 可能為掃描頁/圖表頁</t>
        </is>
      </c>
    </row>
    <row r="47">
      <c r="A47" s="9" t="n">
        <v>35</v>
      </c>
      <c r="B47" s="9" t="inlineStr">
        <is>
          <t>文字量過低 — 可能為掃描頁/圖表頁</t>
        </is>
      </c>
    </row>
    <row r="48">
      <c r="A48" s="9" t="n">
        <v>36</v>
      </c>
      <c r="B48" s="9" t="inlineStr">
        <is>
          <t>文字量過低 — 可能為掃描頁/圖表頁</t>
        </is>
      </c>
    </row>
    <row r="49">
      <c r="A49" s="9" t="n">
        <v>37</v>
      </c>
      <c r="B49" s="9" t="inlineStr">
        <is>
          <t>文字量過低 — 可能為掃描頁/圖表頁</t>
        </is>
      </c>
    </row>
    <row r="50">
      <c r="A50" s="9" t="n">
        <v>38</v>
      </c>
      <c r="B50" s="9" t="inlineStr">
        <is>
          <t>文字量過低 — 可能為掃描頁/圖表頁</t>
        </is>
      </c>
    </row>
    <row r="51">
      <c r="A51" s="9" t="n">
        <v>39</v>
      </c>
      <c r="B51" s="9" t="inlineStr">
        <is>
          <t>文字量過低 — 可能為掃描頁/圖表頁</t>
        </is>
      </c>
    </row>
    <row r="52">
      <c r="A52" s="9" t="n">
        <v>40</v>
      </c>
      <c r="B52" s="9" t="inlineStr">
        <is>
          <t>文字量過低 — 可能為掃描頁/圖表頁</t>
        </is>
      </c>
    </row>
    <row r="53">
      <c r="A53" s="9" t="n">
        <v>41</v>
      </c>
      <c r="B53" s="9" t="inlineStr">
        <is>
          <t>文字量過低 — 可能為掃描頁/圖表頁</t>
        </is>
      </c>
    </row>
    <row r="54">
      <c r="A54" s="9" t="n">
        <v>42</v>
      </c>
      <c r="B54" s="9" t="inlineStr">
        <is>
          <t>文字量過低 — 可能為掃描頁/圖表頁</t>
        </is>
      </c>
    </row>
    <row r="55">
      <c r="A55" s="9" t="n">
        <v>43</v>
      </c>
      <c r="B55" s="9" t="inlineStr">
        <is>
          <t>文字量過低 — 可能為掃描頁/圖表頁</t>
        </is>
      </c>
    </row>
    <row r="56">
      <c r="A56" s="9" t="n">
        <v>44</v>
      </c>
      <c r="B56" s="9" t="inlineStr">
        <is>
          <t>文字量過低 — 可能為掃描頁/圖表頁</t>
        </is>
      </c>
    </row>
    <row r="57">
      <c r="A57" s="9" t="n">
        <v>45</v>
      </c>
      <c r="B57" s="9" t="inlineStr">
        <is>
          <t>文字量過低 — 可能為掃描頁/圖表頁</t>
        </is>
      </c>
    </row>
    <row r="58">
      <c r="A58" s="9" t="n">
        <v>46</v>
      </c>
      <c r="B58" s="9" t="inlineStr">
        <is>
          <t>文字量過低 — 可能為掃描頁/圖表頁</t>
        </is>
      </c>
    </row>
    <row r="59">
      <c r="A59" s="9" t="n">
        <v>47</v>
      </c>
      <c r="B59" s="9" t="inlineStr">
        <is>
          <t>文字量過低 — 可能為掃描頁/圖表頁</t>
        </is>
      </c>
    </row>
    <row r="60">
      <c r="A60" s="9" t="n">
        <v>48</v>
      </c>
      <c r="B60" s="9" t="inlineStr">
        <is>
          <t>文字量過低 — 可能為掃描頁/圖表頁</t>
        </is>
      </c>
    </row>
    <row r="61">
      <c r="A61" s="9" t="n">
        <v>49</v>
      </c>
      <c r="B61" s="9" t="inlineStr">
        <is>
          <t>文字量過低 — 可能為掃描頁/圖表頁</t>
        </is>
      </c>
    </row>
    <row r="62">
      <c r="A62" s="9" t="n">
        <v>50</v>
      </c>
      <c r="B62" s="9" t="inlineStr">
        <is>
          <t>文字量過低 — 可能為掃描頁/圖表頁</t>
        </is>
      </c>
    </row>
    <row r="63">
      <c r="A63" s="9" t="n">
        <v>51</v>
      </c>
      <c r="B63" s="9" t="inlineStr">
        <is>
          <t>文字量過低 — 可能為掃描頁/圖表頁</t>
        </is>
      </c>
    </row>
    <row r="64">
      <c r="A64" s="9" t="n">
        <v>52</v>
      </c>
      <c r="B64" s="9" t="inlineStr">
        <is>
          <t>文字量過低 — 可能為掃描頁/圖表頁</t>
        </is>
      </c>
    </row>
    <row r="65">
      <c r="A65" s="9" t="n">
        <v>53</v>
      </c>
      <c r="B65" s="9" t="inlineStr">
        <is>
          <t>文字量過低 — 可能為掃描頁/圖表頁</t>
        </is>
      </c>
    </row>
    <row r="66">
      <c r="A66" s="9" t="n">
        <v>54</v>
      </c>
      <c r="B66" s="9" t="inlineStr">
        <is>
          <t>文字量過低 — 可能為掃描頁/圖表頁</t>
        </is>
      </c>
    </row>
    <row r="67">
      <c r="A67" s="9" t="n">
        <v>55</v>
      </c>
      <c r="B67" s="9" t="inlineStr">
        <is>
          <t>文字量過低 — 可能為掃描頁/圖表頁</t>
        </is>
      </c>
    </row>
    <row r="68">
      <c r="A68" s="9" t="n">
        <v>56</v>
      </c>
      <c r="B68" s="9" t="inlineStr">
        <is>
          <t>文字量過低 — 可能為掃描頁/圖表頁</t>
        </is>
      </c>
    </row>
    <row r="69">
      <c r="A69" s="9" t="n">
        <v>57</v>
      </c>
      <c r="B69" s="9" t="inlineStr">
        <is>
          <t>文字量過低 — 可能為掃描頁/圖表頁</t>
        </is>
      </c>
    </row>
    <row r="70">
      <c r="A70" s="9" t="n">
        <v>58</v>
      </c>
      <c r="B70" s="9" t="inlineStr">
        <is>
          <t>文字量過低 — 可能為掃描頁/圖表頁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2026-08-30T14:16:48Z</dcterms:created>
  <dcterms:modified xsi:type="dcterms:W3CDTF">2026-08-30T14:16:48Z</dcterms:modified>
</cp:coreProperties>
</file>
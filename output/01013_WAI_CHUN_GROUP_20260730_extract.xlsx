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9C0006"/>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8"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01013_WAI_CHUN_GROUP_20260730.pdf</t>
        </is>
      </c>
    </row>
    <row r="5">
      <c r="A5" s="3" t="inlineStr">
        <is>
          <t>產生時間 Generated</t>
        </is>
      </c>
      <c r="B5" s="4" t="inlineStr">
        <is>
          <t>2026-08-30 22:16</t>
        </is>
      </c>
    </row>
    <row r="6">
      <c r="A6" s="4" t="inlineStr"/>
      <c r="B6" s="4" t="inlineStr"/>
    </row>
    <row r="7">
      <c r="A7" s="3" t="inlineStr">
        <is>
          <t>總頁數 Total pages</t>
        </is>
      </c>
      <c r="B7" s="4" t="n">
        <v>169</v>
      </c>
    </row>
    <row r="8">
      <c r="A8" s="3" t="inlineStr">
        <is>
          <t>已擷取字元 Characters extracted</t>
        </is>
      </c>
      <c r="B8" s="4" t="n">
        <v>313593</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3</v>
      </c>
    </row>
    <row r="13">
      <c r="A13" s="3" t="inlineStr">
        <is>
          <t>財務科目擷取筆數 Financial line items</t>
        </is>
      </c>
      <c r="B13" s="4" t="n">
        <v>7</v>
      </c>
    </row>
    <row r="14">
      <c r="A14" s="3" t="inlineStr">
        <is>
          <t>主題段落擷取筆數 Topic extracts</t>
        </is>
      </c>
      <c r="B14" s="4" t="n">
        <v>80</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收入 − 銷售成本 = 毛利</t>
        </is>
      </c>
      <c r="B19" s="4" t="inlineStr">
        <is>
          <t>264,153 − 263,075 = 1,078 vs 毛利 1,078</t>
        </is>
      </c>
    </row>
    <row r="20">
      <c r="A20" s="6" t="inlineStr">
        <is>
          <t>✓ 除稅前溢利 ± 稅項 = 年內溢利</t>
        </is>
      </c>
      <c r="B20" s="4" t="inlineStr">
        <is>
          <t>-44,672 + 0 = -44,672 vs -44,672</t>
        </is>
      </c>
    </row>
    <row r="21">
      <c r="A21" s="7" t="inlineStr">
        <is>
          <t>✗ 三大報表應相鄰</t>
        </is>
      </c>
      <c r="B21" s="4" t="inlineStr">
        <is>
          <t>Income Statement: p.80、Balance Sheet: p.83、Cash Flow: p.164(相距 84 頁,可能有一張抓錯頁)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8" t="inlineStr">
        <is>
          <t>參數 Parameter</t>
        </is>
      </c>
      <c r="B4" s="8" t="inlineStr">
        <is>
          <t>中文</t>
        </is>
      </c>
      <c r="C4" s="8" t="inlineStr">
        <is>
          <t>下限 Low (%)</t>
        </is>
      </c>
      <c r="D4" s="8" t="inlineStr">
        <is>
          <t>上限 High (%)</t>
        </is>
      </c>
      <c r="E4" s="8" t="inlineStr">
        <is>
          <t>原文數值</t>
        </is>
      </c>
      <c r="F4" s="8" t="inlineStr">
        <is>
          <t>信心度</t>
        </is>
      </c>
      <c r="G4" s="8" t="inlineStr">
        <is>
          <t>來源頁 Source Page</t>
        </is>
      </c>
      <c r="H4" s="8" t="inlineStr">
        <is>
          <t>上下文 Context</t>
        </is>
      </c>
    </row>
    <row r="5">
      <c r="A5" s="9" t="inlineStr">
        <is>
          <t>Expected Volatility</t>
        </is>
      </c>
      <c r="B5" s="9" t="inlineStr">
        <is>
          <t>預期波幅</t>
        </is>
      </c>
      <c r="C5" s="10" t="n">
        <v>109.68</v>
      </c>
      <c r="D5" s="11" t="n">
        <v>109.68</v>
      </c>
      <c r="E5" s="12" t="inlineStr">
        <is>
          <t>109.68%</t>
        </is>
      </c>
      <c r="F5" s="12" t="inlineStr">
        <is>
          <t>High</t>
        </is>
      </c>
      <c r="G5" s="12" t="inlineStr">
        <is>
          <t>PDF p.159 (印刷頁 158)</t>
        </is>
      </c>
      <c r="H5" s="12" t="inlineStr">
        <is>
          <t xml:space="preserve"> at the measurement date HK$0.183 Exercise price HK$0.191 Exercise multiple 2.2 Expected volatility 109.68% Expected life 7 years Risk-free rate 2.934% Expected dividend yield Nil The expected volatility was derived from the historical volatility of the Compa</t>
        </is>
      </c>
    </row>
    <row r="6">
      <c r="A6" s="9" t="inlineStr">
        <is>
          <t>Gross Margin</t>
        </is>
      </c>
      <c r="B6" s="9" t="inlineStr">
        <is>
          <t>毛利率</t>
        </is>
      </c>
      <c r="C6" s="10" t="n">
        <v>0.41</v>
      </c>
      <c r="D6" s="11" t="n">
        <v>0.41</v>
      </c>
      <c r="E6" s="12" t="inlineStr">
        <is>
          <t>0.41%</t>
        </is>
      </c>
      <c r="F6" s="12" t="inlineStr">
        <is>
          <t>Medium</t>
        </is>
      </c>
      <c r="G6" s="12" t="inlineStr">
        <is>
          <t>PDF p.5 (印刷頁 4)</t>
        </is>
      </c>
      <c r="H6" s="12" t="inlineStr">
        <is>
          <t xml:space="preserve"> amounted to approximately HK$1,078,000 (2025: approximately HK$2,153,000). The gross profit margin for the year ended 31 March 2026 was approximately 0.41% as compared to 0.81% for the year of 2025. The decrease in gross profit margin was mainly due to the d</t>
        </is>
      </c>
    </row>
    <row r="7">
      <c r="A7" s="9" t="inlineStr">
        <is>
          <t>Gross Margin</t>
        </is>
      </c>
      <c r="B7" s="9" t="inlineStr">
        <is>
          <t>毛利率</t>
        </is>
      </c>
      <c r="C7" s="10" t="n">
        <v>0.8100000000000001</v>
      </c>
      <c r="D7" s="11" t="n">
        <v>0.8100000000000001</v>
      </c>
      <c r="E7" s="12" t="inlineStr">
        <is>
          <t>0.81%</t>
        </is>
      </c>
      <c r="F7" s="12" t="inlineStr">
        <is>
          <t>Medium</t>
        </is>
      </c>
      <c r="G7" s="12" t="inlineStr">
        <is>
          <t>PDF p.5 (印刷頁 4)</t>
        </is>
      </c>
      <c r="H7" s="12" t="inlineStr">
        <is>
          <t xml:space="preserve"> approximately 0.41% as compared to 0.81% for the year of 2025. The decrease in gross profit margin was mainly due to the decrease in gross profit margin derived from the sales and integration services that have a higher gross profit margin in last year. Duri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2024</t>
        </is>
      </c>
    </row>
    <row r="4">
      <c r="A4" s="8" t="inlineStr">
        <is>
          <t>報表 Statement</t>
        </is>
      </c>
      <c r="B4" s="8" t="inlineStr">
        <is>
          <t>科目 Item</t>
        </is>
      </c>
      <c r="C4" s="8" t="inlineStr">
        <is>
          <t>本年 Current</t>
        </is>
      </c>
      <c r="D4" s="8" t="inlineStr">
        <is>
          <t>上年 Prior</t>
        </is>
      </c>
      <c r="E4" s="8" t="inlineStr">
        <is>
          <t>變動 YoY %</t>
        </is>
      </c>
      <c r="F4" s="8" t="inlineStr">
        <is>
          <t>來源頁</t>
        </is>
      </c>
      <c r="G4" s="8" t="inlineStr">
        <is>
          <t>原文行 Source line</t>
        </is>
      </c>
    </row>
    <row r="5">
      <c r="A5" s="9" t="inlineStr">
        <is>
          <t>Income Statement</t>
        </is>
      </c>
      <c r="B5" s="9" t="inlineStr">
        <is>
          <t>Revenue</t>
        </is>
      </c>
      <c r="C5" s="13" t="n">
        <v>264153</v>
      </c>
      <c r="D5" s="14" t="n">
        <v>266338</v>
      </c>
      <c r="E5" s="15">
        <f>IF(ISERROR((C5-D5)/ABS(D5)),"",(C5-D5)/ABS(D5))</f>
        <v>-0.00820386125900172</v>
      </c>
      <c r="F5" s="12" t="inlineStr">
        <is>
          <t>PDF p.80 (印刷頁 79)</t>
        </is>
      </c>
      <c r="G5" s="12" t="inlineStr">
        <is>
          <t>Revenue 8 264,153 266,338</t>
        </is>
      </c>
    </row>
    <row r="6">
      <c r="A6" s="9" t="inlineStr">
        <is>
          <t>Income Statement</t>
        </is>
      </c>
      <c r="B6" s="9" t="inlineStr">
        <is>
          <t>Cost of Sales</t>
        </is>
      </c>
      <c r="C6" s="13" t="n">
        <v>-263075</v>
      </c>
      <c r="D6" s="14" t="n">
        <v>-264185</v>
      </c>
      <c r="E6" s="15">
        <f>IF(ISERROR((C6-D6)/ABS(D6)),"",(C6-D6)/ABS(D6))</f>
        <v>0.004201601150708783</v>
      </c>
      <c r="F6" s="12" t="inlineStr">
        <is>
          <t>PDF p.80 (印刷頁 79)</t>
        </is>
      </c>
      <c r="G6" s="12" t="inlineStr">
        <is>
          <t>Cost of sales (263,075) (264,185)</t>
        </is>
      </c>
    </row>
    <row r="7">
      <c r="A7" s="9" t="inlineStr">
        <is>
          <t>Income Statement</t>
        </is>
      </c>
      <c r="B7" s="9" t="inlineStr">
        <is>
          <t>Gross Profit</t>
        </is>
      </c>
      <c r="C7" s="13" t="n">
        <v>1078</v>
      </c>
      <c r="D7" s="14" t="n">
        <v>2153</v>
      </c>
      <c r="E7" s="15">
        <f>IF(ISERROR((C7-D7)/ABS(D7)),"",(C7-D7)/ABS(D7))</f>
        <v>-0.4993032977241059</v>
      </c>
      <c r="F7" s="12" t="inlineStr">
        <is>
          <t>PDF p.80 (印刷頁 79)</t>
        </is>
      </c>
      <c r="G7" s="12" t="inlineStr">
        <is>
          <t>Gross profit 1,078 2,153</t>
        </is>
      </c>
    </row>
    <row r="8">
      <c r="A8" s="9" t="inlineStr">
        <is>
          <t>Income Statement</t>
        </is>
      </c>
      <c r="B8" s="9" t="inlineStr">
        <is>
          <t>Finance Costs</t>
        </is>
      </c>
      <c r="C8" s="13" t="n">
        <v>-29719</v>
      </c>
      <c r="D8" s="14" t="n">
        <v>-28183</v>
      </c>
      <c r="E8" s="15">
        <f>IF(ISERROR((C8-D8)/ABS(D8)),"",(C8-D8)/ABS(D8))</f>
        <v>-0.05450094028314942</v>
      </c>
      <c r="F8" s="12" t="inlineStr">
        <is>
          <t>PDF p.80 (印刷頁 79)</t>
        </is>
      </c>
      <c r="G8" s="12" t="inlineStr">
        <is>
          <t>Finance costs 11 (29,719) (28,183)</t>
        </is>
      </c>
    </row>
    <row r="9">
      <c r="A9" s="9" t="inlineStr">
        <is>
          <t>Income Statement</t>
        </is>
      </c>
      <c r="B9" s="9" t="inlineStr">
        <is>
          <t>Profit Before Tax</t>
        </is>
      </c>
      <c r="C9" s="13" t="n">
        <v>-44672</v>
      </c>
      <c r="D9" s="14" t="n">
        <v>-10299</v>
      </c>
      <c r="E9" s="15">
        <f>IF(ISERROR((C9-D9)/ABS(D9)),"",(C9-D9)/ABS(D9))</f>
        <v>-3.3375084959704826</v>
      </c>
      <c r="F9" s="12" t="inlineStr">
        <is>
          <t>PDF p.80 (印刷頁 79)</t>
        </is>
      </c>
      <c r="G9" s="12" t="inlineStr">
        <is>
          <t>Loss before tax (44,672) (10,299)</t>
        </is>
      </c>
    </row>
    <row r="10">
      <c r="A10" s="9" t="inlineStr">
        <is>
          <t>Income Statement</t>
        </is>
      </c>
      <c r="B10" s="9" t="inlineStr">
        <is>
          <t>Income Tax</t>
        </is>
      </c>
      <c r="C10" s="13" t="n">
        <v>0</v>
      </c>
      <c r="D10" s="14" t="n">
        <v>0</v>
      </c>
      <c r="E10" s="15" t="str">
        <f>IF(ISERROR((C10-D10)/ABS(D10)),"",(C10-D10)/ABS(D10))</f>
        <v/>
      </c>
      <c r="F10" s="12" t="inlineStr">
        <is>
          <t>PDF p.80 (印刷頁 79)</t>
        </is>
      </c>
      <c r="G10" s="12" t="inlineStr">
        <is>
          <t>Income tax 12 – –</t>
        </is>
      </c>
    </row>
    <row r="11">
      <c r="A11" s="9" t="inlineStr">
        <is>
          <t>Income Statement</t>
        </is>
      </c>
      <c r="B11" s="9" t="inlineStr">
        <is>
          <t>Profit for the Year</t>
        </is>
      </c>
      <c r="C11" s="13" t="n">
        <v>-44672</v>
      </c>
      <c r="D11" s="14" t="n">
        <v>-10299</v>
      </c>
      <c r="E11" s="15">
        <f>IF(ISERROR((C11-D11)/ABS(D11)),"",(C11-D11)/ABS(D11))</f>
        <v>-3.3375084959704826</v>
      </c>
      <c r="F11" s="12" t="inlineStr">
        <is>
          <t>PDF p.80 (印刷頁 79)</t>
        </is>
      </c>
      <c r="G11" s="12" t="inlineStr">
        <is>
          <t>Loss for the year 13 (44,672) (10,299)</t>
        </is>
      </c>
    </row>
    <row r="13">
      <c r="A13"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8" t="inlineStr">
        <is>
          <t>比率 Ratio</t>
        </is>
      </c>
      <c r="B4" s="8" t="inlineStr">
        <is>
          <t>本年 Current</t>
        </is>
      </c>
      <c r="C4" s="8" t="inlineStr">
        <is>
          <t>上年 Prior</t>
        </is>
      </c>
      <c r="D4" s="8" t="inlineStr">
        <is>
          <t>說明</t>
        </is>
      </c>
    </row>
    <row r="5">
      <c r="A5" s="4" t="inlineStr">
        <is>
          <t>Gross Margin 毛利率</t>
        </is>
      </c>
      <c r="B5" s="16">
        <f>IF(ISERROR(INDEX('Financials 財務數據'!$C$5:$C$11,MATCH("Gross Profit",'Financials 財務數據'!$B$5:$B$11,0))/INDEX('Financials 財務數據'!$C$5:$C$11,MATCH("Revenue",'Financials 財務數據'!$B$5:$B$11,0))),"n/a",INDEX('Financials 財務數據'!$C$5:$C$11,MATCH("Gross Profit",'Financials 財務數據'!$B$5:$B$11,0))/INDEX('Financials 財務數據'!$C$5:$C$11,MATCH("Revenue",'Financials 財務數據'!$B$5:$B$11,0)))</f>
        <v>0.004080968226747378</v>
      </c>
      <c r="C5" s="16">
        <f>IF(ISERROR(INDEX('Financials 財務數據'!$D$5:$D$11,MATCH("Gross Profit",'Financials 財務數據'!$B$5:$B$11,0))/INDEX('Financials 財務數據'!$D$5:$D$11,MATCH("Revenue",'Financials 財務數據'!$B$5:$B$11,0))),"n/a",INDEX('Financials 財務數據'!$D$5:$D$11,MATCH("Gross Profit",'Financials 財務數據'!$B$5:$B$11,0))/INDEX('Financials 財務數據'!$D$5:$D$11,MATCH("Revenue",'Financials 財務數據'!$B$5:$B$11,0)))</f>
        <v>0.008083713176490023</v>
      </c>
      <c r="D5" s="2" t="inlineStr">
        <is>
          <t>毛利 ÷ 收入</t>
        </is>
      </c>
    </row>
    <row r="6">
      <c r="A6" s="4" t="inlineStr">
        <is>
          <t>Net Margin 淨利率</t>
        </is>
      </c>
      <c r="B6" s="16">
        <f>IF(ISERROR(INDEX('Financials 財務數據'!$C$5:$C$11,MATCH("Profit for the Year",'Financials 財務數據'!$B$5:$B$11,0))/INDEX('Financials 財務數據'!$C$5:$C$11,MATCH("Revenue",'Financials 財務數據'!$B$5:$B$11,0))),"n/a",INDEX('Financials 財務數據'!$C$5:$C$11,MATCH("Profit for the Year",'Financials 財務數據'!$B$5:$B$11,0))/INDEX('Financials 財務數據'!$C$5:$C$11,MATCH("Revenue",'Financials 財務數據'!$B$5:$B$11,0)))</f>
        <v>-0.16911411189727166</v>
      </c>
      <c r="C6" s="16">
        <f>IF(ISERROR(INDEX('Financials 財務數據'!$D$5:$D$11,MATCH("Profit for the Year",'Financials 財務數據'!$B$5:$B$11,0))/INDEX('Financials 財務數據'!$D$5:$D$11,MATCH("Revenue",'Financials 財務數據'!$B$5:$B$11,0))),"n/a",INDEX('Financials 財務數據'!$D$5:$D$11,MATCH("Profit for the Year",'Financials 財務數據'!$B$5:$B$11,0))/INDEX('Financials 財務數據'!$D$5:$D$11,MATCH("Revenue",'Financials 財務數據'!$B$5:$B$11,0)))</f>
        <v>-0.03866890943087355</v>
      </c>
      <c r="D6" s="2" t="inlineStr">
        <is>
          <t>年內溢利 ÷ 收入</t>
        </is>
      </c>
    </row>
    <row r="7">
      <c r="A7" s="4" t="inlineStr">
        <is>
          <t>Current Ratio 流動比率</t>
        </is>
      </c>
      <c r="B7" s="17" t="str">
        <f>IF(ISERROR(INDEX('Financials 財務數據'!$C$5:$C$11,MATCH("Total Current Assets",'Financials 財務數據'!$B$5:$B$11,0))/INDEX('Financials 財務數據'!$C$5:$C$11,MATCH("Total Current Liabilities",'Financials 財務數據'!$B$5:$B$11,0))),"n/a",INDEX('Financials 財務數據'!$C$5:$C$11,MATCH("Total Current Assets",'Financials 財務數據'!$B$5:$B$11,0))/INDEX('Financials 財務數據'!$C$5:$C$11,MATCH("Total Current Liabilities",'Financials 財務數據'!$B$5:$B$11,0)))</f>
        <v>n/a</v>
      </c>
      <c r="C7" s="17" t="str">
        <f>IF(ISERROR(INDEX('Financials 財務數據'!$D$5:$D$11,MATCH("Total Current Assets",'Financials 財務數據'!$B$5:$B$11,0))/INDEX('Financials 財務數據'!$D$5:$D$11,MATCH("Total Current Liabilities",'Financials 財務數據'!$B$5:$B$11,0))),"n/a",INDEX('Financials 財務數據'!$D$5:$D$11,MATCH("Total Current Assets",'Financials 財務數據'!$B$5:$B$11,0))/INDEX('Financials 財務數據'!$D$5:$D$11,MATCH("Total Current Liabilities",'Financials 財務數據'!$B$5:$B$11,0)))</f>
        <v>n/a</v>
      </c>
      <c r="D7" s="2" t="inlineStr">
        <is>
          <t>流動資產 ÷ 流動負債</t>
        </is>
      </c>
    </row>
    <row r="8">
      <c r="A8" s="4" t="inlineStr">
        <is>
          <t>Debt / Equity 負債權益比</t>
        </is>
      </c>
      <c r="B8" s="17" t="str">
        <f>IF(ISERROR(INDEX('Financials 財務數據'!$C$5:$C$11,MATCH("Total Liabilities",'Financials 財務數據'!$B$5:$B$11,0))/INDEX('Financials 財務數據'!$C$5:$C$11,MATCH("Total Equity",'Financials 財務數據'!$B$5:$B$11,0))),"n/a",INDEX('Financials 財務數據'!$C$5:$C$11,MATCH("Total Liabilities",'Financials 財務數據'!$B$5:$B$11,0))/INDEX('Financials 財務數據'!$C$5:$C$11,MATCH("Total Equity",'Financials 財務數據'!$B$5:$B$11,0)))</f>
        <v>n/a</v>
      </c>
      <c r="C8" s="17" t="str">
        <f>IF(ISERROR(INDEX('Financials 財務數據'!$D$5:$D$11,MATCH("Total Liabilities",'Financials 財務數據'!$B$5:$B$11,0))/INDEX('Financials 財務數據'!$D$5:$D$11,MATCH("Total Equity",'Financials 財務數據'!$B$5:$B$11,0))),"n/a",INDEX('Financials 財務數據'!$D$5:$D$11,MATCH("Total Liabilities",'Financials 財務數據'!$B$5:$B$11,0))/INDEX('Financials 財務數據'!$D$5:$D$11,MATCH("Total Equity",'Financials 財務數據'!$B$5:$B$11,0)))</f>
        <v>n/a</v>
      </c>
      <c r="D8" s="2" t="inlineStr">
        <is>
          <t>總負債 ÷ 總權益</t>
        </is>
      </c>
    </row>
    <row r="9">
      <c r="A9" s="4" t="inlineStr">
        <is>
          <t>Goodwill / Total Assets</t>
        </is>
      </c>
      <c r="B9" s="16" t="str">
        <f>IF(ISERROR(INDEX('Financials 財務數據'!$C$5:$C$11,MATCH("Goodwill",'Financials 財務數據'!$B$5:$B$11,0))/INDEX('Financials 財務數據'!$C$5:$C$11,MATCH("Total Assets",'Financials 財務數據'!$B$5:$B$11,0))),"n/a",INDEX('Financials 財務數據'!$C$5:$C$11,MATCH("Goodwill",'Financials 財務數據'!$B$5:$B$11,0))/INDEX('Financials 財務數據'!$C$5:$C$11,MATCH("Total Assets",'Financials 財務數據'!$B$5:$B$11,0)))</f>
        <v>n/a</v>
      </c>
      <c r="C9" s="16" t="str">
        <f>IF(ISERROR(INDEX('Financials 財務數據'!$D$5:$D$11,MATCH("Goodwill",'Financials 財務數據'!$B$5:$B$11,0))/INDEX('Financials 財務數據'!$D$5:$D$11,MATCH("Total Assets",'Financials 財務數據'!$B$5:$B$11,0))),"n/a",INDEX('Financials 財務數據'!$D$5:$D$11,MATCH("Goodwill",'Financials 財務數據'!$B$5:$B$11,0))/INDEX('Financials 財務數據'!$D$5:$D$11,MATCH("Total Assets",'Financials 財務數據'!$B$5:$B$11,0)))</f>
        <v>n/a</v>
      </c>
      <c r="D9" s="2" t="inlineStr">
        <is>
          <t>商譽佔總資產比重 — 減值風險指標</t>
        </is>
      </c>
    </row>
    <row r="10">
      <c r="A10" s="4" t="inlineStr">
        <is>
          <t>Intangibles / Total Assets</t>
        </is>
      </c>
      <c r="B10" s="16" t="str">
        <f>IF(ISERROR(INDEX('Financials 財務數據'!$C$5:$C$11,MATCH("Intangible Assets",'Financials 財務數據'!$B$5:$B$11,0))/INDEX('Financials 財務數據'!$C$5:$C$11,MATCH("Total Assets",'Financials 財務數據'!$B$5:$B$11,0))),"n/a",INDEX('Financials 財務數據'!$C$5:$C$11,MATCH("Intangible Assets",'Financials 財務數據'!$B$5:$B$11,0))/INDEX('Financials 財務數據'!$C$5:$C$11,MATCH("Total Assets",'Financials 財務數據'!$B$5:$B$11,0)))</f>
        <v>n/a</v>
      </c>
      <c r="C10" s="16" t="str">
        <f>IF(ISERROR(INDEX('Financials 財務數據'!$D$5:$D$11,MATCH("Intangible Assets",'Financials 財務數據'!$B$5:$B$11,0))/INDEX('Financials 財務數據'!$D$5:$D$11,MATCH("Total Assets",'Financials 財務數據'!$B$5:$B$11,0))),"n/a",INDEX('Financials 財務數據'!$D$5:$D$11,MATCH("Intangible Assets",'Financials 財務數據'!$B$5:$B$11,0))/INDEX('Financials 財務數據'!$D$5:$D$11,MATCH("Total Assets",'Financials 財務數據'!$B$5:$B$11,0)))</f>
        <v>n/a</v>
      </c>
      <c r="D10" s="2" t="inlineStr">
        <is>
          <t>無形資產佔比</t>
        </is>
      </c>
    </row>
    <row r="11">
      <c r="A11" s="4" t="inlineStr">
        <is>
          <t>ROE 股本回報率</t>
        </is>
      </c>
      <c r="B11" s="16" t="str">
        <f>IF(ISERROR(INDEX('Financials 財務數據'!$C$5:$C$11,MATCH("Profit for the Year",'Financials 財務數據'!$B$5:$B$11,0))/INDEX('Financials 財務數據'!$C$5:$C$11,MATCH("Total Equity",'Financials 財務數據'!$B$5:$B$11,0))),"n/a",INDEX('Financials 財務數據'!$C$5:$C$11,MATCH("Profit for the Year",'Financials 財務數據'!$B$5:$B$11,0))/INDEX('Financials 財務數據'!$C$5:$C$11,MATCH("Total Equity",'Financials 財務數據'!$B$5:$B$11,0)))</f>
        <v>n/a</v>
      </c>
      <c r="C11" s="16" t="str">
        <f>IF(ISERROR(INDEX('Financials 財務數據'!$D$5:$D$11,MATCH("Profit for the Year",'Financials 財務數據'!$B$5:$B$11,0))/INDEX('Financials 財務數據'!$D$5:$D$11,MATCH("Total Equity",'Financials 財務數據'!$B$5:$B$11,0))),"n/a",INDEX('Financials 財務數據'!$D$5:$D$11,MATCH("Profit for the Year",'Financials 財務數據'!$B$5:$B$11,0))/INDEX('Financials 財務數據'!$D$5:$D$11,MATCH("Total Equity",'Financials 財務數據'!$B$5:$B$11,0)))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266338</v>
      </c>
      <c r="C5" s="19" t="n">
        <v>264153</v>
      </c>
    </row>
    <row r="6">
      <c r="A6" s="4" t="inlineStr">
        <is>
          <t>Gross Profit</t>
        </is>
      </c>
      <c r="B6" s="19" t="n">
        <v>2153</v>
      </c>
      <c r="C6" s="19" t="n">
        <v>1078</v>
      </c>
    </row>
    <row r="7">
      <c r="A7" s="4" t="inlineStr">
        <is>
          <t>Profit Before Tax</t>
        </is>
      </c>
      <c r="B7" s="19" t="n">
        <v>-10299</v>
      </c>
      <c r="C7" s="19" t="n">
        <v>-44672</v>
      </c>
    </row>
    <row r="8">
      <c r="A8" s="4" t="inlineStr">
        <is>
          <t>Profit for the Year</t>
        </is>
      </c>
      <c r="B8" s="19" t="n">
        <v>-10299</v>
      </c>
      <c r="C8" s="19" t="n">
        <v>-44672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83"/>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8" t="inlineStr">
        <is>
          <t>主題 Topic</t>
        </is>
      </c>
      <c r="B3" s="8" t="inlineStr">
        <is>
          <t>中文</t>
        </is>
      </c>
      <c r="C3" s="8" t="inlineStr">
        <is>
          <t>優先</t>
        </is>
      </c>
      <c r="D3" s="8" t="inlineStr">
        <is>
          <t>命中詞</t>
        </is>
      </c>
      <c r="E3" s="8" t="inlineStr">
        <is>
          <t>來源頁</t>
        </is>
      </c>
      <c r="F3" s="8" t="inlineStr">
        <is>
          <t>段落 Snippet</t>
        </is>
      </c>
    </row>
    <row r="4">
      <c r="A4" s="9" t="inlineStr">
        <is>
          <t>Fair Value Measurement</t>
        </is>
      </c>
      <c r="B4" s="9" t="inlineStr">
        <is>
          <t>公允價值計量</t>
        </is>
      </c>
      <c r="C4" s="20" t="inlineStr">
        <is>
          <t>high</t>
        </is>
      </c>
      <c r="D4" s="12" t="inlineStr">
        <is>
          <t>unobservable input</t>
        </is>
      </c>
      <c r="E4" s="12" t="inlineStr">
        <is>
          <t>PDF p.75 (印刷頁 74)</t>
        </is>
      </c>
      <c r="F4" s="12" t="inlineStr">
        <is>
          <t>mount of HK$45,000,000 for the challenged the reasonableness of the significant extinguishment of portion of the loans from ultimate unobservable inputs adopted in the calculation of holding company and ultimate controlling party with the fair value of the financial liability portion, with aggregate carrying amount of HK$45,000,000. reference to the available market sources; and The convertible bond contains interest-bearing bond, which is classified as financial liability, and – With the assistance of the auditor’s expert, con</t>
        </is>
      </c>
    </row>
    <row r="5">
      <c r="A5" s="9" t="inlineStr">
        <is>
          <t>Fair Value Measurement</t>
        </is>
      </c>
      <c r="B5" s="9" t="inlineStr">
        <is>
          <t>公允價值計量</t>
        </is>
      </c>
      <c r="C5" s="20" t="inlineStr">
        <is>
          <t>high</t>
        </is>
      </c>
      <c r="D5" s="12" t="inlineStr">
        <is>
          <t>valuation technique</t>
        </is>
      </c>
      <c r="E5" s="12" t="inlineStr">
        <is>
          <t>PDF p.91 (印刷頁 90)</t>
        </is>
      </c>
      <c r="F5" s="12" t="inlineStr">
        <is>
          <t>ween market participants at the measurement date, regardless of whether that price is directly observable or estimated using another valuation technique. The preparation of consolidated financial statements in conformity with HKFRS Accounting Standards requires the use of certain critical accounting estimates. It also requires management to exercise its judgement in the process of applying the Group’s accounting policies. The areas involving a higher degree of judgement or complexity, or areas where assumptions and estimates ar</t>
        </is>
      </c>
    </row>
    <row r="6">
      <c r="A6" s="9" t="inlineStr">
        <is>
          <t>Fair Value Measurement</t>
        </is>
      </c>
      <c r="B6" s="9" t="inlineStr">
        <is>
          <t>公允價值計量</t>
        </is>
      </c>
      <c r="C6" s="20" t="inlineStr">
        <is>
          <t>high</t>
        </is>
      </c>
      <c r="D6" s="12" t="inlineStr">
        <is>
          <t>valuation technique</t>
        </is>
      </c>
      <c r="E6" s="12" t="inlineStr">
        <is>
          <t>PDF p.112 (印刷頁 111)</t>
        </is>
      </c>
      <c r="F6" s="12" t="inlineStr">
        <is>
          <t>ar ended 31 March 2026. Valuation of convertible bonds The directors of the Company use their judgements in selecting an appropriate valuation technique for the convertible bond not quoted in an active market. Valuation techniques commonly used by market practitioners are applied. Assumptions are made based on quoted market rates adjusted for specific features of the instrument. If the inputs and estimates applied in the model are different, the carrying amount of these convertible bonds may change. At the date of issuance of t</t>
        </is>
      </c>
    </row>
    <row r="7">
      <c r="A7" s="9" t="inlineStr">
        <is>
          <t>Impairment Testing</t>
        </is>
      </c>
      <c r="B7" s="9" t="inlineStr">
        <is>
          <t>減值測試</t>
        </is>
      </c>
      <c r="C7" s="20" t="inlineStr">
        <is>
          <t>high</t>
        </is>
      </c>
      <c r="D7" s="12" t="inlineStr">
        <is>
          <t>impairment loss</t>
        </is>
      </c>
      <c r="E7" s="12" t="inlineStr">
        <is>
          <t>PDF p.5 (印刷頁 4)</t>
        </is>
      </c>
      <c r="F7" s="12" t="inlineStr">
        <is>
          <t>he Group recorded other losses of approximately HK$649,000 (2025: other gains of approximately HK$23,411,000), which represented the impairment losses on rightof-use assets. During the year ended 31 March 2026, administrative expenses increased by 16.38% to approximately HK$10,603,000 (2025: approximately HK$9,111,000). Such increase was mainly due to the recognition of share-based payment expenses of approximately HK$1,976,000 during the year ended 31 March 2026. During the year ended 31 March 2026, the finance costs increas</t>
        </is>
      </c>
    </row>
    <row r="8">
      <c r="A8" s="9" t="inlineStr">
        <is>
          <t>Impairment Testing</t>
        </is>
      </c>
      <c r="B8" s="9" t="inlineStr">
        <is>
          <t>減值測試</t>
        </is>
      </c>
      <c r="C8" s="20" t="inlineStr">
        <is>
          <t>high</t>
        </is>
      </c>
      <c r="D8" s="12" t="inlineStr">
        <is>
          <t>impairment loss</t>
        </is>
      </c>
      <c r="E8" s="12" t="inlineStr">
        <is>
          <t>PDF p.74 (印刷頁 73)</t>
        </is>
      </c>
      <c r="F8" s="12" t="inlineStr">
        <is>
          <t>e Group’s ECL based on the calculation of the allowance under model used for the impairment assessment by: the ECL model, recognised impairment loss on trade receivables, deposits and other receivables • examining the model inputs used by of approximately HK$5,376,000. management of the Group to form such judgements and estimates including testing The allowance for ECL on trade receivables, the accuracy of the historical default data, deposits and other receivables is estimated by the on a sample basis; management and the indep</t>
        </is>
      </c>
    </row>
    <row r="9">
      <c r="A9" s="9" t="inlineStr">
        <is>
          <t>Impairment Testing</t>
        </is>
      </c>
      <c r="B9" s="9" t="inlineStr">
        <is>
          <t>減值測試</t>
        </is>
      </c>
      <c r="C9" s="20" t="inlineStr">
        <is>
          <t>high</t>
        </is>
      </c>
      <c r="D9" s="12" t="inlineStr">
        <is>
          <t>impairment loss</t>
        </is>
      </c>
      <c r="E9" s="12" t="inlineStr">
        <is>
          <t>PDF p.80 (印刷頁 79)</t>
        </is>
      </c>
      <c r="F9" s="12" t="inlineStr">
        <is>
          <t>266,338 Cost of sales (263,075) (264,185) Gross profit 1,078 2,153 Other income 9 597 59 Other (losses)/gains, net 10 (649) 23,411 (Impairment losses)/reversal of impairment losses on trade and other receivables under expected credit loss (“ECL”) model, net 13 (5,376) 1,372 Administrative expenses (10,603) (9,111) Finance costs 11 (29,719) (28,183) Loss before tax (44,672) (10,299) Income tax 12 – – Loss for the year 13 (44,672) (10,299) (Loss)/profit for the year attributable to: – Owners of the Company (42,516) (10,326) – No</t>
        </is>
      </c>
    </row>
    <row r="10">
      <c r="A10" s="9" t="inlineStr">
        <is>
          <t>Impairment Testing</t>
        </is>
      </c>
      <c r="B10" s="9" t="inlineStr">
        <is>
          <t>減值測試</t>
        </is>
      </c>
      <c r="C10" s="20" t="inlineStr">
        <is>
          <t>high</t>
        </is>
      </c>
      <c r="D10" s="12" t="inlineStr">
        <is>
          <t>impairment loss</t>
        </is>
      </c>
      <c r="E10" s="12" t="inlineStr">
        <is>
          <t>PDF p.85 (印刷頁 84)</t>
        </is>
      </c>
      <c r="F10" s="12" t="inlineStr">
        <is>
          <t>expenses 1,976 – Interest income on rental deposits (2) (32) Depreciation of right-of-use assets 288 187 Finance costs 29,719 28,183 Impairment loss on right-of-use assets 649 186 Impairment losses/(reversal of impairment losses) of trade and other receivables under ECL model, net 5,376 (1,372) Gain on modification of convertible bonds – (23,598) Operating cash flows before working capital changes (6,666) (6,745) Increase in trade and other receivables (38,548) (10,985) Increase in trade and other payables 36,490 6,725 Net cash</t>
        </is>
      </c>
    </row>
    <row r="11">
      <c r="A11" s="9" t="inlineStr">
        <is>
          <t>Impairment Testing</t>
        </is>
      </c>
      <c r="B11" s="9" t="inlineStr">
        <is>
          <t>減值測試</t>
        </is>
      </c>
      <c r="C11" s="20" t="inlineStr">
        <is>
          <t>high</t>
        </is>
      </c>
      <c r="D11" s="12" t="inlineStr">
        <is>
          <t>recoverable amount</t>
        </is>
      </c>
      <c r="E11" s="12" t="inlineStr">
        <is>
          <t>PDF p.88 (印刷頁 87)</t>
        </is>
      </c>
      <c r="F11" s="12" t="inlineStr">
        <is>
          <t>uld the Group be unable to continue as a going concern, adjustments would have to be made to write down the value of assets to their recoverable amount, to provide for future liabilities which might arise and to reclassify non-current assets and non-current liabilities to current assets and current liabilities respectively. The effects of these potential adjustments have not been reflected in these consolidated financial statements. 3. APPLICATION OF NEW AND AMENDMENTS TO HKFRS ACCOUNTING STANDARDS 3.1 AMENDMENTS TO HKFRS ACCOU</t>
        </is>
      </c>
    </row>
    <row r="12">
      <c r="A12" s="9" t="inlineStr">
        <is>
          <t>Impairment Testing</t>
        </is>
      </c>
      <c r="B12" s="9" t="inlineStr">
        <is>
          <t>減值測試</t>
        </is>
      </c>
      <c r="C12" s="20" t="inlineStr">
        <is>
          <t>high</t>
        </is>
      </c>
      <c r="D12" s="12" t="inlineStr">
        <is>
          <t>impairment loss</t>
        </is>
      </c>
      <c r="E12" s="12" t="inlineStr">
        <is>
          <t>PDF p.95 (印刷頁 94)</t>
        </is>
      </c>
      <c r="F12" s="12" t="inlineStr">
        <is>
          <t>the date the underlying asset is available for use). Right-of-use assets are measured at cost, less any accumulated depreciation and impairment losses under HKAS 36, and adjusted for any remeasurement of lease liabilities. The cost of right-of-use asset includes: • the amount of the initial measurement of the lease liability; • any lease payments made at or before the commencement date, less any lease incentives received; • any initial direct costs incurred by the Group; and • an estimate of costs to be incurred by the Group in</t>
        </is>
      </c>
    </row>
    <row r="13">
      <c r="A13" s="9" t="inlineStr">
        <is>
          <t>Impairment Testing</t>
        </is>
      </c>
      <c r="B13" s="9" t="inlineStr">
        <is>
          <t>減值測試</t>
        </is>
      </c>
      <c r="C13" s="20" t="inlineStr">
        <is>
          <t>high</t>
        </is>
      </c>
      <c r="D13" s="12" t="inlineStr">
        <is>
          <t>impairment loss</t>
        </is>
      </c>
      <c r="E13" s="12" t="inlineStr">
        <is>
          <t>PDF p.109 (印刷頁 108)</t>
        </is>
      </c>
      <c r="F13" s="12" t="inlineStr">
        <is>
          <t>ews the carrying amounts of its non-financial assets to determine whether there is any indication that those assets have suffered an impairment loss. If any such indication exists, the recoverable amount of the asset individually is estimated in order to determine the extent of any impairment loss. Where it is not possible to estimate the recoverable amount of an individual asset, the Group estimates the recoverable amount of the cash-generating unit to which the asset belongs. Recoverable amount is the higher of fair value les</t>
        </is>
      </c>
    </row>
    <row r="14">
      <c r="A14" s="9" t="inlineStr">
        <is>
          <t>Impairment Testing</t>
        </is>
      </c>
      <c r="B14" s="9" t="inlineStr">
        <is>
          <t>減值測試</t>
        </is>
      </c>
      <c r="C14" s="20" t="inlineStr">
        <is>
          <t>high</t>
        </is>
      </c>
      <c r="D14" s="12" t="inlineStr">
        <is>
          <t>impairment loss</t>
        </is>
      </c>
      <c r="E14" s="12" t="inlineStr">
        <is>
          <t>PDF p.124 (印刷頁 123)</t>
        </is>
      </c>
      <c r="F14" s="12" t="inlineStr">
        <is>
          <t>89 202,949 266,338 SEGMENT RESULTS 54 2,160 2,214 Unallocated corporate income 59 Unallocated corporate expenses (8,216) Unallocated impairment losses on other receivables under ECL model, net (7) Unallocated other gains, net 23,598 Unallocated finance costs (27,947) Loss before tax (10,299) Segment results represent the (loss)/profit incurred/earned by each operating segment without allocation of certain impairment losses on other receivables under ECL model, other income, certain other (losses)/gains, net, certain finance cos</t>
        </is>
      </c>
    </row>
    <row r="15">
      <c r="A15" s="9" t="inlineStr">
        <is>
          <t>Impairment Testing</t>
        </is>
      </c>
      <c r="B15" s="9" t="inlineStr">
        <is>
          <t>減值測試</t>
        </is>
      </c>
      <c r="C15" s="20" t="inlineStr">
        <is>
          <t>high</t>
        </is>
      </c>
      <c r="D15" s="12" t="inlineStr">
        <is>
          <t>impairment loss</t>
        </is>
      </c>
      <c r="E15" s="12" t="inlineStr">
        <is>
          <t>PDF p.126 (印刷頁 125)</t>
        </is>
      </c>
      <c r="F15" s="12" t="inlineStr">
        <is>
          <t>Total HK$’000 HK$’000 HK$’000 HK$’000 Additions to right-of-use assets – 189 748 937 Depreciation of right-of-use assets – 7 281 288 Impairment loss on right-of-use assets – 182 467 649 Impairment losses on trade and other receivables under ECL model, net 4,774 602 – 5,376 Finance costs 24 232 29,463 29,719 Interest income on rental deposits – – (2) (2) Annual Report 2026 125</t>
        </is>
      </c>
    </row>
    <row r="16">
      <c r="A16" s="9" t="inlineStr">
        <is>
          <t>Impairment Testing</t>
        </is>
      </c>
      <c r="B16" s="9" t="inlineStr">
        <is>
          <t>減值測試</t>
        </is>
      </c>
      <c r="C16" s="20" t="inlineStr">
        <is>
          <t>high</t>
        </is>
      </c>
      <c r="D16" s="12" t="inlineStr">
        <is>
          <t>impairment loss</t>
        </is>
      </c>
      <c r="E16" s="12" t="inlineStr">
        <is>
          <t>PDF p.127 (印刷頁 126)</t>
        </is>
      </c>
      <c r="F16" s="12" t="inlineStr">
        <is>
          <t>d Total HK$’000 HK$’000 HK$’000 HK$’000 Additions to right-of-use assets – 373 – 373 Depreciation of right-of-use assets – 187 – 187 Impairment loss on right-of-use assets – 186 – 186 Gain on modification of convertible bonds – – (23,598) (23,598) Impairment losses/(reversal of impairment losses) on trade and other receivables under ECL model, net 1,190 (2,569) 7 (1,372) Finance costs 21 215 27,947 28,183 Interest income on rental deposits – – (32) (32) (D) Geographical segments The Group’s operations are located in Hong Kong a</t>
        </is>
      </c>
    </row>
    <row r="17">
      <c r="A17" s="9" t="inlineStr">
        <is>
          <t>Impairment Testing</t>
        </is>
      </c>
      <c r="B17" s="9" t="inlineStr">
        <is>
          <t>減值測試</t>
        </is>
      </c>
      <c r="C17" s="20" t="inlineStr">
        <is>
          <t>high</t>
        </is>
      </c>
      <c r="D17" s="12" t="inlineStr">
        <is>
          <t>impairment loss</t>
        </is>
      </c>
      <c r="E17" s="12" t="inlineStr">
        <is>
          <t>PDF p.129 (印刷頁 128)</t>
        </is>
      </c>
      <c r="F17" s="12" t="inlineStr">
        <is>
          <t>ncial Statements For the year ended 31 March 2026 10. OTHER (LOSSES)/GAINS, NET 2026 2025 HK$’000 HK$’000 Exchange losses, net – (1) Impairment loss on right-of-use assets (note 19) (649) (186) Gain on modification of convertible bonds (note 26) – 23,598 (649) 23,411 11. FINANCE COSTS 2026 2025 HK$’000 HK$’000 Interest on lease liabilities 32 86 Imputed interest on convertible bonds (note 26) 26,669 24,350 Interest expenses on: – Loans from ultimate holding company 653 971 – Loans from ultimate controlling party 549 1,300 – Adv</t>
        </is>
      </c>
    </row>
    <row r="18">
      <c r="A18" s="9" t="inlineStr">
        <is>
          <t>Impairment Testing</t>
        </is>
      </c>
      <c r="B18" s="9" t="inlineStr">
        <is>
          <t>減值測試</t>
        </is>
      </c>
      <c r="C18" s="20" t="inlineStr">
        <is>
          <t>high</t>
        </is>
      </c>
      <c r="D18" s="12" t="inlineStr">
        <is>
          <t>impairment loss</t>
        </is>
      </c>
      <c r="E18" s="12" t="inlineStr">
        <is>
          <t>PDF p.131 (印刷頁 130)</t>
        </is>
      </c>
      <c r="F18" s="12" t="inlineStr">
        <is>
          <t>e assets (note 19) 288 187 Auditor’s remuneration - audit services 500 500 Expenses related to short-term leases (note 19) 1,735 121 Impairment losses/(reversal of impairment losses) on: – Trade receivables 5,426 830 – Deposits and other receivables (50) (2,202) 5,376 (1,372) 130 Wai Chun Group Holdings Limited</t>
        </is>
      </c>
    </row>
    <row r="19">
      <c r="A19" s="9" t="inlineStr">
        <is>
          <t>Impairment Testing</t>
        </is>
      </c>
      <c r="B19" s="9" t="inlineStr">
        <is>
          <t>減值測試</t>
        </is>
      </c>
      <c r="C19" s="20" t="inlineStr">
        <is>
          <t>high</t>
        </is>
      </c>
      <c r="D19" s="12" t="inlineStr">
        <is>
          <t>impairment loss</t>
        </is>
      </c>
      <c r="E19" s="12" t="inlineStr">
        <is>
          <t>PDF p.138 (印刷頁 137)</t>
        </is>
      </c>
      <c r="F19" s="12" t="inlineStr">
        <is>
          <t>as at 31 March 2026. 2026 2025 HK$’000 HK$’000 Additions to right-of-use assets 937 373 Depreciation of right-of-use assets 288 187 Impairment loss on right-of-use assets 649 186 Expenses related to short-term leases 1,735 121 Interest on lease liabilities 32 86 Annual Report 2026 137</t>
        </is>
      </c>
    </row>
    <row r="20">
      <c r="A20" s="9" t="inlineStr">
        <is>
          <t>Impairment Testing</t>
        </is>
      </c>
      <c r="B20" s="9" t="inlineStr">
        <is>
          <t>減值測試</t>
        </is>
      </c>
      <c r="C20" s="20" t="inlineStr">
        <is>
          <t>high</t>
        </is>
      </c>
      <c r="D20" s="12" t="inlineStr">
        <is>
          <t>impairment loss</t>
        </is>
      </c>
      <c r="E20" s="12" t="inlineStr">
        <is>
          <t>PDF p.139 (印刷頁 138)</t>
        </is>
      </c>
      <c r="F20" s="12" t="inlineStr">
        <is>
          <t>s of its estimated recoverable amount due to operating loss generated from the general trading cash-generating unit. As a result, an impairment loss of right-of-use assets of approximately HK$649,000 was recognised for the year ended 31 March 2026 (2025: HK$186,000). 20. TRADE AND OTHER RECEIVABLES 2026 2025 HK$’000 HK$’000 Trade receivables 80,896 38,806 Less: allowance for ECL on trade receivables (24,921) (27,992) 55,975 10,814 Other receivables 24,118 33,534 Prepayments 26 1,229 Deposits 690 671 Less: allowance for ECL on d</t>
        </is>
      </c>
    </row>
    <row r="21">
      <c r="A21" s="9" t="inlineStr">
        <is>
          <t>Impairment Testing</t>
        </is>
      </c>
      <c r="B21" s="9" t="inlineStr">
        <is>
          <t>減值測試</t>
        </is>
      </c>
      <c r="C21" s="20" t="inlineStr">
        <is>
          <t>high</t>
        </is>
      </c>
      <c r="D21" s="12" t="inlineStr">
        <is>
          <t>impairment loss</t>
        </is>
      </c>
      <c r="E21" s="12" t="inlineStr">
        <is>
          <t>PDF p.140 (印刷頁 139)</t>
        </is>
      </c>
      <c r="F21" s="12" t="inlineStr">
        <is>
          <t>ty over the trade receivables. MOVEMENT OF ALLOWANCE FOR ECL ON TRADE RECEIVABLES 2026 2025 HK$’000 HK$’000 At 1 April 27,992 36,173 Impairment loss recognised 5,426 830 Written off during the year (9,985) (8,591) Exchange realignment 1,488 (420) At 31 March 24,921 27,992 Annual Report 2026 139</t>
        </is>
      </c>
    </row>
    <row r="22">
      <c r="A22" s="9" t="inlineStr">
        <is>
          <t>Impairment Testing</t>
        </is>
      </c>
      <c r="B22" s="9" t="inlineStr">
        <is>
          <t>減值測試</t>
        </is>
      </c>
      <c r="C22" s="20" t="inlineStr">
        <is>
          <t>high</t>
        </is>
      </c>
      <c r="D22" s="12" t="inlineStr">
        <is>
          <t>impairment loss</t>
        </is>
      </c>
      <c r="E22" s="12" t="inlineStr">
        <is>
          <t>PDF p.142 (印刷頁 141)</t>
        </is>
      </c>
      <c r="F22" s="12" t="inlineStr">
        <is>
          <t>aired) impaired) Total HK$’000 HK$’000 HK$’000 HK$’000 At 1 April 2024 – 4,638 – 4,638 Transfer to credit impaired – (2,059) 2,059 – Impairment loss/(reversal of impairment loss) 368 (2,570) – (2,202) Exchange realignment (3) (9) (23) (35) At 31 March 2025 and 1 April 2025 365 – 2,036 2,401 Written off during the year – – (2,094) (2,094) Reversal of impairment loss (50) – – (50) Exchange realignment 19 – 58 77 At 31 March 2026 334 – – 334 Annual Report 2026 141</t>
        </is>
      </c>
    </row>
    <row r="23">
      <c r="A23" s="9" t="inlineStr">
        <is>
          <t>Intangible Assets &amp; Goodwill</t>
        </is>
      </c>
      <c r="B23" s="9" t="inlineStr">
        <is>
          <t>無形資產及商譽</t>
        </is>
      </c>
      <c r="C23" s="20" t="inlineStr">
        <is>
          <t>high</t>
        </is>
      </c>
      <c r="D23" s="12" t="inlineStr">
        <is>
          <t>customer relationship</t>
        </is>
      </c>
      <c r="E23" s="12" t="inlineStr">
        <is>
          <t>PDF p.63 (印刷頁 62)</t>
        </is>
      </c>
      <c r="F23" s="12" t="inlineStr">
        <is>
          <t>vironmental, Social and Governance Report For the year ended 31 March 2026 B6 PRODUCT RESPONSIBILITY Product Quality and Recall Good customer relationships not only help the Group to maintain customer loyalty, but also contribute to higher sales. Among them, providing high quality products and services is the key to maintaining good customer relationship. The Group is deeply aware of the importance of products and services, and therefore makes it a priority to win customers’ trust and satisfaction in the course of business. The</t>
        </is>
      </c>
    </row>
    <row r="24">
      <c r="A24" s="9" t="inlineStr">
        <is>
          <t>Intangible Assets &amp; Goodwill</t>
        </is>
      </c>
      <c r="B24" s="9" t="inlineStr">
        <is>
          <t>無形資產及商譽</t>
        </is>
      </c>
      <c r="C24" s="20" t="inlineStr">
        <is>
          <t>high</t>
        </is>
      </c>
      <c r="D24" s="12" t="inlineStr">
        <is>
          <t>amortisation</t>
        </is>
      </c>
      <c r="E24" s="12" t="inlineStr">
        <is>
          <t>PDF p.90 (印刷頁 89)</t>
        </is>
      </c>
      <c r="F24" s="12" t="inlineStr">
        <is>
          <t>. • The Group disclose certain MPMs (e.g., adjusted operating profits and adjusted earnings before interest, taxes, depreciation and amortisation) in its results announcements and the annual report. Under HKFRS 18, this will likely require additional disclosure for the MPMs within the notes to the consolidated financial statements. • The consolidated statement of cash flows will also be impacted, as the operating profit subtotal will be the required starting point for the indirect method. Annual Report 2026 89</t>
        </is>
      </c>
    </row>
    <row r="25">
      <c r="A25" s="9" t="inlineStr">
        <is>
          <t>Intangible Assets &amp; Goodwill</t>
        </is>
      </c>
      <c r="B25" s="9" t="inlineStr">
        <is>
          <t>無形資產及商譽</t>
        </is>
      </c>
      <c r="C25" s="20" t="inlineStr">
        <is>
          <t>high</t>
        </is>
      </c>
      <c r="D25" s="12" t="inlineStr">
        <is>
          <t>useful life</t>
        </is>
      </c>
      <c r="E25" s="12" t="inlineStr">
        <is>
          <t>PDF p.95 (印刷頁 94)</t>
        </is>
      </c>
      <c r="F25" s="12" t="inlineStr">
        <is>
          <t>btain ownership of the underlying leased assets at the end of the lease term is depreciated from commencement date to the end of the useful life. Otherwise, right-of-use assets are depreciated on a straight-line basis over the shorter of its estimated useful life and the lease term. Refundable rental deposits Refundable rental deposits paid are accounted under HKFRS 9 “Financial Instruments” (“HKFRS 9”) and initially measured at fair value. Adjustments to fair value at initial recognition are considered as additional lease paym</t>
        </is>
      </c>
    </row>
    <row r="26">
      <c r="A26" s="9" t="inlineStr">
        <is>
          <t>Intangible Assets &amp; Goodwill</t>
        </is>
      </c>
      <c r="B26" s="9" t="inlineStr">
        <is>
          <t>無形資產及商譽</t>
        </is>
      </c>
      <c r="C26" s="20" t="inlineStr">
        <is>
          <t>high</t>
        </is>
      </c>
      <c r="D26" s="12" t="inlineStr">
        <is>
          <t>goodwill</t>
        </is>
      </c>
      <c r="E26" s="12" t="inlineStr">
        <is>
          <t>PDF p.107 (印刷頁 106)</t>
        </is>
      </c>
      <c r="F26" s="12" t="inlineStr">
        <is>
          <t>ary differences can be utilised. Such deferred tax assets and liabilities are not recognised if the temporary difference arises from goodwill or from the initial recognition (other than in a business combination) of other assets and liabilities in a transaction that affects neither the taxable profit nor the accounting profit. 106 Wai Chun Group Holdings Limited</t>
        </is>
      </c>
    </row>
    <row r="27">
      <c r="A27" s="9" t="inlineStr">
        <is>
          <t>Intangible Assets &amp; Goodwill</t>
        </is>
      </c>
      <c r="B27" s="9" t="inlineStr">
        <is>
          <t>無形資產及商譽</t>
        </is>
      </c>
      <c r="C27" s="20" t="inlineStr">
        <is>
          <t>high</t>
        </is>
      </c>
      <c r="D27" s="12" t="inlineStr">
        <is>
          <t>amortisation</t>
        </is>
      </c>
      <c r="E27" s="12" t="inlineStr">
        <is>
          <t>PDF p.109 (印刷頁 108)</t>
        </is>
      </c>
      <c r="F27" s="12" t="inlineStr">
        <is>
          <t>erable amount, but so that the increased carrying amount does not exceed the carrying amount that would have been determined (net of amortisation or depreciation) had no impairment loss been recognised for the asset or cash-generating unit in prior years. A reversal of an impairment loss is recognised immediately in profit or loss. CASH AND CASH EQUIVALENTS For the purpose of the consolidated statement of cash flows, cash and cash equivalents represent cash at bank and cash on hand, demand deposits with banks and other financia</t>
        </is>
      </c>
    </row>
    <row r="28">
      <c r="A28" s="9" t="inlineStr">
        <is>
          <t>Investment Properties</t>
        </is>
      </c>
      <c r="B28" s="9" t="inlineStr">
        <is>
          <t>投資物業</t>
        </is>
      </c>
      <c r="C28" s="20" t="inlineStr">
        <is>
          <t>high</t>
        </is>
      </c>
      <c r="D28" s="12" t="inlineStr">
        <is>
          <t>market rent</t>
        </is>
      </c>
      <c r="E28" s="12" t="inlineStr">
        <is>
          <t>PDF p.96 (印刷頁 95)</t>
        </is>
      </c>
      <c r="F28" s="12" t="inlineStr">
        <is>
          <t>the revised lease payments using a revised discount rate at the date of reassessment. • the lease payments change due to changes in market rental rates following a market rent review, in which cases the related lease liability is remeasured by discounting the revised lease payments using the initial discount rate. Annual Report 2026 95</t>
        </is>
      </c>
    </row>
    <row r="29">
      <c r="A29" s="9" t="inlineStr">
        <is>
          <t>ESG Data</t>
        </is>
      </c>
      <c r="B29" s="9" t="inlineStr">
        <is>
          <t>環境社會及管治數據</t>
        </is>
      </c>
      <c r="C29" s="9" t="inlineStr">
        <is>
          <t>medium</t>
        </is>
      </c>
      <c r="D29" s="12" t="inlineStr">
        <is>
          <t>sustainability</t>
        </is>
      </c>
      <c r="E29" s="12" t="inlineStr">
        <is>
          <t>PDF p.18 (印刷頁 17)</t>
        </is>
      </c>
      <c r="F29" s="12" t="inlineStr">
        <is>
          <t>tive, is involved in dealing in his own remuneration. ENVIRONMENTAL POLICIES AND PERFORMANCE The Group is committed to the long-term sustainability of the environment and communities in which it engages from time to time. The Group achieves this through rational resources utilisation and compliance with applicable environmental laws and practices of environmental protection, health and safety, workplace conditions and employment. The Group continues to improve the environmental performance as an integral and fundamental part of</t>
        </is>
      </c>
    </row>
    <row r="30">
      <c r="A30" s="9" t="inlineStr">
        <is>
          <t>ESG Data</t>
        </is>
      </c>
      <c r="B30" s="9" t="inlineStr">
        <is>
          <t>環境社會及管治數據</t>
        </is>
      </c>
      <c r="C30" s="9" t="inlineStr">
        <is>
          <t>medium</t>
        </is>
      </c>
      <c r="D30" s="12" t="inlineStr">
        <is>
          <t>ESG</t>
        </is>
      </c>
      <c r="E30" s="12" t="inlineStr">
        <is>
          <t>PDF p.24 (印刷頁 23)</t>
        </is>
      </c>
      <c r="F30" s="12" t="inlineStr">
        <is>
          <t>irectors’ duties and responsibilities, legal and regulatory updates, corporate governance and environmental, social and governance (“ESG”) matters, risk management and internal controls as well as industry-specific developments, business trends, and strategies relevant to the Company. All Directors participated in appropriate continuous professional development and provided the Company with their records of training received for the year ended 31 March 2026. All of these are of sufficient quality adequately support Directors’ d</t>
        </is>
      </c>
    </row>
    <row r="31">
      <c r="A31" s="9" t="inlineStr">
        <is>
          <t>ESG Data</t>
        </is>
      </c>
      <c r="B31" s="9" t="inlineStr">
        <is>
          <t>環境社會及管治數據</t>
        </is>
      </c>
      <c r="C31" s="9" t="inlineStr">
        <is>
          <t>medium</t>
        </is>
      </c>
      <c r="D31" s="12" t="inlineStr">
        <is>
          <t>ESG</t>
        </is>
      </c>
      <c r="E31" s="12" t="inlineStr">
        <is>
          <t>PDF p.34 (印刷頁 33)</t>
        </is>
      </c>
      <c r="F31" s="12" t="inlineStr">
        <is>
          <t>31 March 2026 ABOUT THIS REPORT INTRODUCTION In accordance to Appendix C2 Environmental, Social and Governance Reporting Code (the “ESG Reporting Code”) of the Rules Governing the Listing of Securities (the “Listing Rules”) on the Main Board of the Stock Exchange of Hong Kong Limited (the “Stock Exchange”), Wai Chun Group Holdings Limited and its subsidiaries (collectively known as the “Group” or “We”) are pleased to present this Environmental, Social and Governance Report (the “Report”). The purpose of the ESG Report is to pr</t>
        </is>
      </c>
    </row>
    <row r="32">
      <c r="A32" s="9" t="inlineStr">
        <is>
          <t>ESG Data</t>
        </is>
      </c>
      <c r="B32" s="9" t="inlineStr">
        <is>
          <t>環境社會及管治數據</t>
        </is>
      </c>
      <c r="C32" s="9" t="inlineStr">
        <is>
          <t>medium</t>
        </is>
      </c>
      <c r="D32" s="12" t="inlineStr">
        <is>
          <t>ESG</t>
        </is>
      </c>
      <c r="E32" s="12" t="inlineStr">
        <is>
          <t>PDF p.35 (印刷頁 34)</t>
        </is>
      </c>
      <c r="F32" s="12" t="inlineStr">
        <is>
          <t>Environmental, Social and Governance Report For the year ended 31 March 2026 REPORTING BOUNDARY The scope of the ESG Report mainly focuses on the Group’s principal subsidiaries, Beijing HollyBridge System Integration Co., Limited (the “Beijing HollyBridge”), Beijing Plus Trading Co., Ltd. (the “Plus Trading”) and Wai Chun Strategic Investment Limited (the “Wai Chun Strategy”). Beijing HollyBridge principally engaged in the sale and provision of integrated services of computer and communication systems, as we</t>
        </is>
      </c>
    </row>
    <row r="33">
      <c r="A33" s="9" t="inlineStr">
        <is>
          <t>ESG Data</t>
        </is>
      </c>
      <c r="B33" s="9" t="inlineStr">
        <is>
          <t>環境社會及管治數據</t>
        </is>
      </c>
      <c r="C33" s="9" t="inlineStr">
        <is>
          <t>medium</t>
        </is>
      </c>
      <c r="D33" s="12" t="inlineStr">
        <is>
          <t>greenhouse gas</t>
        </is>
      </c>
      <c r="E33" s="12" t="inlineStr">
        <is>
          <t>PDF p.37 (印刷頁 36)</t>
        </is>
      </c>
      <c r="F33" s="12" t="inlineStr">
        <is>
          <t>format. The significant ESG issues of the Group are shown in the table below: Environmental Aspect Social Aspect Operation Aspect 1. Greenhouse Gas Emissions 12. Community Contribution 21. Anti-Corruption 2. Energy Consumption and 13. Occupational Health and Safety 22. Supply Chain Management Resource Management 14. Child Labour 23. Supplier Evaluation and Selection 3. Water Resource Management 15. Forced and Compulsory Labour 24. Customer Service and Satisfaction 4. Waste Management 16. Training and Development 25. Customer Pr</t>
        </is>
      </c>
    </row>
    <row r="34">
      <c r="A34" s="9" t="inlineStr">
        <is>
          <t>ESG Data</t>
        </is>
      </c>
      <c r="B34" s="9" t="inlineStr">
        <is>
          <t>環境社會及管治數據</t>
        </is>
      </c>
      <c r="C34" s="9" t="inlineStr">
        <is>
          <t>medium</t>
        </is>
      </c>
      <c r="D34" s="12" t="inlineStr">
        <is>
          <t>ESG</t>
        </is>
      </c>
      <c r="E34" s="12" t="inlineStr">
        <is>
          <t>PDF p.38 (印刷頁 37)</t>
        </is>
      </c>
      <c r="F34" s="12" t="inlineStr">
        <is>
          <t>hts” as the top three areas of focus during the Reporting Period. The Board of Directors has set targets for each major KPI, and the ESG targets related to major KPIs will be reviewed annually to ensure that they still meet the needs of the Group. INFORMATION AND FEEDBACK The Group welcomes all feedback from investors and stakeholders in particular the important areas identified in the materiality assessment. Your opinion is highly valued, should you have any suggestions or comments, please contact us through the channels below</t>
        </is>
      </c>
    </row>
    <row r="35">
      <c r="A35" s="9" t="inlineStr">
        <is>
          <t>ESG Data</t>
        </is>
      </c>
      <c r="B35" s="9" t="inlineStr">
        <is>
          <t>環境社會及管治數據</t>
        </is>
      </c>
      <c r="C35" s="9" t="inlineStr">
        <is>
          <t>medium</t>
        </is>
      </c>
      <c r="D35" s="12" t="inlineStr">
        <is>
          <t>greenhouse gas</t>
        </is>
      </c>
      <c r="E35" s="12" t="inlineStr">
        <is>
          <t>PDF p.39 (印刷頁 38)</t>
        </is>
      </c>
      <c r="F35" s="12" t="inlineStr">
        <is>
          <t>on the environment is minimal, the Group still makes every effort to comply with all laws, regulations, and rules related to air and greenhouse gas emissions in its operations, including but not limited to the Air Pollution Control Ordinance (Cap. 311 of the Laws of Hong Kong), and the Ozone Layer Protection Ordinance (Cap. 403 of the Laws of Hong Kong). During the Reporting Period, the Group did not find any non-compliance with emission and environmental laws and regulations. Air Emissions In view of the daily business activit</t>
        </is>
      </c>
    </row>
    <row r="36">
      <c r="A36" s="9" t="inlineStr">
        <is>
          <t>ESG Data</t>
        </is>
      </c>
      <c r="B36" s="9" t="inlineStr">
        <is>
          <t>環境社會及管治數據</t>
        </is>
      </c>
      <c r="C36" s="9" t="inlineStr">
        <is>
          <t>medium</t>
        </is>
      </c>
      <c r="D36" s="12" t="inlineStr">
        <is>
          <t>greenhouse gas</t>
        </is>
      </c>
      <c r="E36" s="12" t="inlineStr">
        <is>
          <t>PDF p.40 (印刷頁 39)</t>
        </is>
      </c>
      <c r="F36" s="12" t="inlineStr">
        <is>
          <t>emission Reduce 2% by 2027 2022 In progress intensity Particulate Matter (PM) emission Reduce 2% by 2027 2022 In progress intensity Greenhouse Gas (GHG) Emissions Global warming is a key area of concern for climate change. Due to human activities such as burning fossil fuels and deforestation, global warming accelerates and disrupts the balance of the natural world, ultimately affecting the livelihoods of employees, customers, and communities. The Group has been closely monitoring greenhouse gas emissions levels and exploring</t>
        </is>
      </c>
    </row>
    <row r="37">
      <c r="A37" s="9" t="inlineStr">
        <is>
          <t>ESG Data</t>
        </is>
      </c>
      <c r="B37" s="9" t="inlineStr">
        <is>
          <t>環境社會及管治數據</t>
        </is>
      </c>
      <c r="C37" s="9" t="inlineStr">
        <is>
          <t>medium</t>
        </is>
      </c>
      <c r="D37" s="12" t="inlineStr">
        <is>
          <t>greenhouse gas</t>
        </is>
      </c>
      <c r="E37" s="12" t="inlineStr">
        <is>
          <t>PDF p.41 (印刷頁 40)</t>
        </is>
      </c>
      <c r="F37" s="12" t="inlineStr">
        <is>
          <t>The Group endeavours to reduce the GHG emissions by reducing the energy consumption level and will continue to assess and record its greenhouse gas emissions and other environmental data annually to assist the Group in achieving the emission reduction targets in the future. Baseline Air Emissions Reduction Target Year Status GHG emissions intensity (Scope 1) Reduce 2% by 2027 2022 In progress GHG emissions intensity (Scope 2) Reduce 2% by 2027 2022 In progress Waste Management As the Group is mainly a software and information s</t>
        </is>
      </c>
    </row>
    <row r="38">
      <c r="A38" s="9" t="inlineStr">
        <is>
          <t>ESG Data</t>
        </is>
      </c>
      <c r="B38" s="9" t="inlineStr">
        <is>
          <t>環境社會及管治數據</t>
        </is>
      </c>
      <c r="C38" s="9" t="inlineStr">
        <is>
          <t>medium</t>
        </is>
      </c>
      <c r="D38" s="12" t="inlineStr">
        <is>
          <t>energy consumption</t>
        </is>
      </c>
      <c r="E38" s="12" t="inlineStr">
        <is>
          <t>PDF p.42 (印刷頁 41)</t>
        </is>
      </c>
      <c r="F38" s="12" t="inlineStr">
        <is>
          <t>as follows: Type of Sources Unit 2026 2025 Energy Fuel consumption kWh Note 1 Note 1 Electricity consumption kWh 22,000 22,350 Total energy consumption kWh 22,000 22,350 Energy consumption intensity kWh/no. of 1,222 2,235 Employee Water Water consumption m3 27 148 Water consumption intensity m3/no. of 1.50 14.80 Employee Use of packaging materials Total packaging materials Tonnes Note 2 Note 2 Total packaging materials intensity Tonnes/no. of N/A N/A Employee Note 1: During the Year, no motor vehicle was used. Note 2: As the Gr</t>
        </is>
      </c>
    </row>
    <row r="39">
      <c r="A39" s="9" t="inlineStr">
        <is>
          <t>ESG Data</t>
        </is>
      </c>
      <c r="B39" s="9" t="inlineStr">
        <is>
          <t>環境社會及管治數據</t>
        </is>
      </c>
      <c r="C39" s="9" t="inlineStr">
        <is>
          <t>medium</t>
        </is>
      </c>
      <c r="D39" s="12" t="inlineStr">
        <is>
          <t>greenhouse gas</t>
        </is>
      </c>
      <c r="E39" s="12" t="inlineStr">
        <is>
          <t>PDF p.43 (印刷頁 42)</t>
        </is>
      </c>
      <c r="F39" s="12" t="inlineStr">
        <is>
          <t>Environmental, Social and Governance Report For the year ended 31 March 2026 As the greenhouse gas emissions depend largely on the energy consumption levels, the Group has established KPIs for electricity consumption, and also for water use, for daily monitoring and supervision. The Group has also developed and implemented a series of measures to regulate the use of resources. These measures include but are not limited to: • Turn off the air conditioning and lighting systems duri</t>
        </is>
      </c>
    </row>
    <row r="40">
      <c r="A40" s="9" t="inlineStr">
        <is>
          <t>ESG Data</t>
        </is>
      </c>
      <c r="B40" s="9" t="inlineStr">
        <is>
          <t>環境社會及管治數據</t>
        </is>
      </c>
      <c r="C40" s="9" t="inlineStr">
        <is>
          <t>medium</t>
        </is>
      </c>
      <c r="D40" s="12" t="inlineStr">
        <is>
          <t>carbon</t>
        </is>
      </c>
      <c r="E40" s="12" t="inlineStr">
        <is>
          <t>PDF p.45 (印刷頁 44)</t>
        </is>
      </c>
      <c r="F40" s="12" t="inlineStr">
        <is>
          <t>e and has been committed to enhancing its climate resilience, adhering to a sustainable development strategy, actively promoting low-carbon operations and green innovation, and continuously optimising resource utilisation and reducing its carbon footprint. Climate change has increased the severity and frequency of global extreme weather events. In addition to the resulting increase in physical risks, governments worldwide have strengthened climate regulatory measures and promoted technological innovation to address the challeng</t>
        </is>
      </c>
    </row>
    <row r="41">
      <c r="A41" s="9" t="inlineStr">
        <is>
          <t>ESG Data</t>
        </is>
      </c>
      <c r="B41" s="9" t="inlineStr">
        <is>
          <t>環境社會及管治數據</t>
        </is>
      </c>
      <c r="C41" s="9" t="inlineStr">
        <is>
          <t>medium</t>
        </is>
      </c>
      <c r="D41" s="12" t="inlineStr">
        <is>
          <t>carbon</t>
        </is>
      </c>
      <c r="E41" s="12" t="inlineStr">
        <is>
          <t>PDF p.48 (印刷頁 47)</t>
        </is>
      </c>
      <c r="F41" s="12" t="inlineStr">
        <is>
          <t>reased demand to Short, Medium, • Actively communicate with Legal regulations optimise operational Long industry associations and on carbon efficiency to reduce regulatory bodies, and emissions resource consumption and optimise operations to globally and material use meet industry standards regionally, • Increased litigation risks • Continuously monitor and stricter arising from failure to changes in domestic regulations comply with stricter and foreign policies and on energy regulatory requirements regulations to ensure effici</t>
        </is>
      </c>
    </row>
    <row r="42">
      <c r="A42" s="9" t="inlineStr">
        <is>
          <t>ESG Data</t>
        </is>
      </c>
      <c r="B42" s="9" t="inlineStr">
        <is>
          <t>環境社會及管治數據</t>
        </is>
      </c>
      <c r="C42" s="9" t="inlineStr">
        <is>
          <t>medium</t>
        </is>
      </c>
      <c r="D42" s="12" t="inlineStr">
        <is>
          <t>carbon</t>
        </is>
      </c>
      <c r="E42" s="12" t="inlineStr">
        <is>
          <t>PDF p.49 (印刷頁 48)</t>
        </is>
      </c>
      <c r="F42" s="12" t="inlineStr">
        <is>
          <t>Medium, • Introduce renewable energy renewable increase operating costs Long supply to reduce reliance resources and • Sourcing low-carbon raw on traditional energy energy, and materials increases costs • Expand product or service low-carbon • Customers increasingly ranges to cater to a raw materials prefer environmentally broader customer base will affect friendly products or and adapt to changing product costs services; failing to promptly customer preferences and prices; provide such options risks consumer declining sales d</t>
        </is>
      </c>
    </row>
    <row r="43">
      <c r="A43" s="9" t="inlineStr">
        <is>
          <t>ESG Data</t>
        </is>
      </c>
      <c r="B43" s="9" t="inlineStr">
        <is>
          <t>環境社會及管治數據</t>
        </is>
      </c>
      <c r="C43" s="9" t="inlineStr">
        <is>
          <t>medium</t>
        </is>
      </c>
      <c r="D43" s="12" t="inlineStr">
        <is>
          <t>GHG emission</t>
        </is>
      </c>
      <c r="E43" s="12" t="inlineStr">
        <is>
          <t>PDF p.50 (印刷頁 49)</t>
        </is>
      </c>
      <c r="F43" s="12" t="inlineStr">
        <is>
          <t>e energy replace traditional fossil proportion of renewable fuels can reduce energy energy use, and reduce expenditures and increase GHG emissions generated resilience to energy supply by office operations in the long-term • Clean energy is expected to have more policy support in the future and can avoid future carbon emission trading costs Products/ Develop • Create new business Medium, Long • Explore new businesses Services environmentally development opportunities, and introduce friendly increase long-term revenue environmen</t>
        </is>
      </c>
    </row>
    <row r="44">
      <c r="A44" s="9" t="inlineStr">
        <is>
          <t>ESG Data</t>
        </is>
      </c>
      <c r="B44" s="9" t="inlineStr">
        <is>
          <t>環境社會及管治數據</t>
        </is>
      </c>
      <c r="C44" s="9" t="inlineStr">
        <is>
          <t>medium</t>
        </is>
      </c>
      <c r="D44" s="12" t="inlineStr">
        <is>
          <t>GHG emission</t>
        </is>
      </c>
      <c r="E44" s="12" t="inlineStr">
        <is>
          <t>PDF p.52 (印刷頁 51)</t>
        </is>
      </c>
      <c r="F44" s="12" t="inlineStr">
        <is>
          <t>consumption models through comprehensive measures such as legislative constraints and global carbon pricing, significantly reducing GHG emissions and ultimately limiting global temperature rise to within 1.5℃. Under the RCP 8.5 scenario, governments, industry chains, and relevant institutions fail to implement sufficient and effective policies and measures, leading to a continuous rise in GHG emissions, resulting in global average temperatures rising by over 4℃ or more by 2100. Climate Probability of Impact Impact Risk categor</t>
        </is>
      </c>
    </row>
    <row r="45">
      <c r="A45" s="9" t="inlineStr">
        <is>
          <t>ESG Data</t>
        </is>
      </c>
      <c r="B45" s="9" t="inlineStr">
        <is>
          <t>環境社會及管治數據</t>
        </is>
      </c>
      <c r="C45" s="9" t="inlineStr">
        <is>
          <t>medium</t>
        </is>
      </c>
      <c r="D45" s="12" t="inlineStr">
        <is>
          <t>carbon</t>
        </is>
      </c>
      <c r="E45" s="12" t="inlineStr">
        <is>
          <t>PDF p.53 (印刷頁 52)</t>
        </is>
      </c>
      <c r="F45" s="12" t="inlineStr">
        <is>
          <t>ogy Technological improvements NZE 2050 Medium Medium-High Medium, Long for transitioning to low- IEA SPS Medium Medium Medium, Long carbon systems Market Changes in consumer NZE 2050 Medium High Medium, Long preferences IEA SPS Low Low Short Reputation Stakeholders attach NZE 2050 High Medium-High Medium, Long increasing importance to climate change actions and expectations for disclosure continue to rise The Group regularly identifies, analyses, assesses, and addresses climate-related risks that may affect business operations</t>
        </is>
      </c>
    </row>
    <row r="46">
      <c r="A46" s="9" t="inlineStr">
        <is>
          <t>ESG Data</t>
        </is>
      </c>
      <c r="B46" s="9" t="inlineStr">
        <is>
          <t>環境社會及管治數據</t>
        </is>
      </c>
      <c r="C46" s="9" t="inlineStr">
        <is>
          <t>medium</t>
        </is>
      </c>
      <c r="D46" s="12" t="inlineStr">
        <is>
          <t>GHG emission</t>
        </is>
      </c>
      <c r="E46" s="12" t="inlineStr">
        <is>
          <t>PDF p.55 (印刷頁 54)</t>
        </is>
      </c>
      <c r="F46" s="12" t="inlineStr">
        <is>
          <t>ning foresight and operational resilience while addressing climate change. We annually conduct comprehensive statistical analysis of GHG emissions and energy consumption to provide a scientific basis for green development, and consider our own business development and climate change trends to assess the risks and opportunities brought by climate change, thereby formulating short-term, medium-term and long-term carbon reduction strategies and targets. The Group has actively launched energy conservation and emission reduction ini</t>
        </is>
      </c>
    </row>
    <row r="47">
      <c r="A47" s="9" t="inlineStr">
        <is>
          <t>ESG Data</t>
        </is>
      </c>
      <c r="B47" s="9" t="inlineStr">
        <is>
          <t>環境社會及管治數據</t>
        </is>
      </c>
      <c r="C47" s="9" t="inlineStr">
        <is>
          <t>medium</t>
        </is>
      </c>
      <c r="D47" s="12" t="inlineStr">
        <is>
          <t>energy consumption</t>
        </is>
      </c>
      <c r="E47" s="12" t="inlineStr">
        <is>
          <t>PDF p.66 (印刷頁 65)</t>
        </is>
      </c>
      <c r="F47" s="12" t="inlineStr">
        <is>
          <t>sources Policies on the efficient use of resources, including energy, water and other raw materials. KPI A2.1 Direct and/or indirect energy consumption by type (e.g. Use of Resources electricity, gas or oil) in total (in kWh) and intensity (e.g. per unit of production volume, per facility). KPI A2.2 Water consumption in total and intensity (e.g. per unit of Use of Resources production volume, per facility). KPI A2.3 Description of energy use efficiency target(s) set and steps Use of Resources taken to achieve them. Annual Repor</t>
        </is>
      </c>
    </row>
    <row r="48">
      <c r="A48" s="9" t="inlineStr">
        <is>
          <t>ESG Data</t>
        </is>
      </c>
      <c r="B48" s="9" t="inlineStr">
        <is>
          <t>環境社會及管治數據</t>
        </is>
      </c>
      <c r="C48" s="9" t="inlineStr">
        <is>
          <t>medium</t>
        </is>
      </c>
      <c r="D48" s="12" t="inlineStr">
        <is>
          <t>greenhouse gas</t>
        </is>
      </c>
      <c r="E48" s="12" t="inlineStr">
        <is>
          <t>PDF p.71 (印刷頁 70)</t>
        </is>
      </c>
      <c r="F48" s="12" t="inlineStr">
        <is>
          <t>g climate related risks Management and opportunities are integrated into overall risk management process. Metrics and Absolute gross greenhouse gas emissions generated during the Greenhouse Targets reporting period (including Scope 1, Scope 2 and Scope 3). Gas (GHG) Emissions The amount and percentage of assets or business activities Disclosure to be vulnerable to climate related transition risks. enhanced The amount and percentage of assets or business activities Disclosure to be vulnerable to climate related physical risks. e</t>
        </is>
      </c>
    </row>
    <row r="49">
      <c r="A49" s="9" t="inlineStr">
        <is>
          <t>ESG Data</t>
        </is>
      </c>
      <c r="B49" s="9" t="inlineStr">
        <is>
          <t>環境社會及管治數據</t>
        </is>
      </c>
      <c r="C49" s="9" t="inlineStr">
        <is>
          <t>medium</t>
        </is>
      </c>
      <c r="D49" s="12" t="inlineStr">
        <is>
          <t>greenhouse gas</t>
        </is>
      </c>
      <c r="E49" s="12" t="inlineStr">
        <is>
          <t>PDF p.72 (印刷頁 71)</t>
        </is>
      </c>
      <c r="F49" s="12" t="inlineStr">
        <is>
          <t>erformance against each climate related Metrics and target and an analysis of trends or changes in the performance. Targets For each greenhouse gas emissions target disclosed, types of the Air Emissions target, which greenhouse gases are covered, target approach and carbon credits utilisation status. Applicability of cross industry metrics and industry based metrics. Metrics and Targets Annual Report 2026 71</t>
        </is>
      </c>
    </row>
    <row r="50">
      <c r="A50" s="9" t="inlineStr">
        <is>
          <t>Segment Information</t>
        </is>
      </c>
      <c r="B50" s="9" t="inlineStr">
        <is>
          <t>分部資料</t>
        </is>
      </c>
      <c r="C50" s="9" t="inlineStr">
        <is>
          <t>medium</t>
        </is>
      </c>
      <c r="D50" s="12" t="inlineStr">
        <is>
          <t>geographical</t>
        </is>
      </c>
      <c r="E50" s="12" t="inlineStr">
        <is>
          <t>PDF p.56 (印刷頁 55)</t>
        </is>
      </c>
      <c r="F50" s="12" t="inlineStr">
        <is>
          <t>and interests. At the end of the Reporting Period, The distribution of our workforce categorised by gender, age, employment type and geographical region are as follows: Number of Employee of the Group 2026 2025 By Gender Male 10 (56%) 6 (60%) Female 8 (44%) 4 (40%) By Age Below 30 years old – – Between 30 to 50 years old 10 (56%) 4 (40%) Over 50 years old 8 (44%) 6 (60%) By Employment Type Full-time 12 (67%) 8 (80%) Part-time 6 (33%) 2 (20%) By Geographic Location China 8 (44%) 3 (30%) Hong Kong 10 (56%) 7 (70%) Annual Report 2</t>
        </is>
      </c>
    </row>
    <row r="51">
      <c r="A51" s="9" t="inlineStr">
        <is>
          <t>Segment Information</t>
        </is>
      </c>
      <c r="B51" s="9" t="inlineStr">
        <is>
          <t>分部資料</t>
        </is>
      </c>
      <c r="C51" s="9" t="inlineStr">
        <is>
          <t>medium</t>
        </is>
      </c>
      <c r="D51" s="12" t="inlineStr">
        <is>
          <t>geographical</t>
        </is>
      </c>
      <c r="E51" s="12" t="inlineStr">
        <is>
          <t>PDF p.57 (印刷頁 56)</t>
        </is>
      </c>
      <c r="F51" s="12" t="inlineStr">
        <is>
          <t>d Governance Report For the year ended 31 March 2026 The employee turnover rate categorised by (i) gender; (ii) age group; and (iii) geographical region are presented in the table as follows: (Note 1) 2026 2025 Turnover rate by gender Male 20% 83% Female 25% 100% Turnover rate by age Below 30 years old – – Between 30 to 50 years old 40% 100% Over 50 years old – 83% Turnover rate by geographical region China – 100% Hong Kong 40% 85% Note 1: The employee turnover rate is calculated based on the number of employees who left employ</t>
        </is>
      </c>
    </row>
    <row r="52">
      <c r="A52" s="9" t="inlineStr">
        <is>
          <t>Segment Information</t>
        </is>
      </c>
      <c r="B52" s="9" t="inlineStr">
        <is>
          <t>分部資料</t>
        </is>
      </c>
      <c r="C52" s="9" t="inlineStr">
        <is>
          <t>medium</t>
        </is>
      </c>
      <c r="D52" s="12" t="inlineStr">
        <is>
          <t>geographical</t>
        </is>
      </c>
      <c r="E52" s="12" t="inlineStr">
        <is>
          <t>PDF p.62 (印刷頁 61)</t>
        </is>
      </c>
      <c r="F52" s="12" t="inlineStr">
        <is>
          <t>the supplier will be removed from the list of authorised suppliers. The number of suppliers is listed below: Number of Suppliers by Geographical Region 2026 2025 China 18 18 Hong Kong – – During the Reporting Period, none of the Group’s suppliers had any significant actual or potential negative impact on business ethics, environmental protection, human rights, and labour practices, and there were no cases involving human rights violations. Annual Report 2026 61</t>
        </is>
      </c>
    </row>
    <row r="53">
      <c r="A53" s="9" t="inlineStr">
        <is>
          <t>Segment Information</t>
        </is>
      </c>
      <c r="B53" s="9" t="inlineStr">
        <is>
          <t>分部資料</t>
        </is>
      </c>
      <c r="C53" s="9" t="inlineStr">
        <is>
          <t>medium</t>
        </is>
      </c>
      <c r="D53" s="12" t="inlineStr">
        <is>
          <t>geographical</t>
        </is>
      </c>
      <c r="E53" s="12" t="inlineStr">
        <is>
          <t>PDF p.67 (印刷頁 66)</t>
        </is>
      </c>
      <c r="F53" s="12" t="inlineStr">
        <is>
          <t>t on the issuer. KPI B1.1 Total workforce by gender, employment type (for example, full Employment time or part time), age group and geographical region. KPI B1.2 Employee turnover rate by gender, age group and geographical Employment region. B2 Health and General Disclosure: Health and Safety Safety Information on below relating to providing a safe working environment and protecting employees from occupational hazards: (a) the policies; and (b) compliance with relevant laws and regulations that have a significant impact on the</t>
        </is>
      </c>
    </row>
    <row r="54">
      <c r="A54" s="9" t="inlineStr">
        <is>
          <t>Segment Information</t>
        </is>
      </c>
      <c r="B54" s="9" t="inlineStr">
        <is>
          <t>分部資料</t>
        </is>
      </c>
      <c r="C54" s="9" t="inlineStr">
        <is>
          <t>medium</t>
        </is>
      </c>
      <c r="D54" s="12" t="inlineStr">
        <is>
          <t>geographical</t>
        </is>
      </c>
      <c r="E54" s="12" t="inlineStr">
        <is>
          <t>PDF p.68 (印刷頁 67)</t>
        </is>
      </c>
      <c r="F54" s="12" t="inlineStr">
        <is>
          <t>Chain Policies on managing environmental and social risks of the Management Management supply chain. KPI B5.1 Number of suppliers by geographical region. Supply Chain Management KPI B5.2 Description of practices relating to engaging suppliers, number Supply Chain of suppliers where the practices are being implemented, how Management they are implemented and monitored. KPI B5.3 Description of practices used to identify environmental Supply Chain and social risks along the supply chain, and how they are Management implemented and</t>
        </is>
      </c>
    </row>
    <row r="55">
      <c r="A55" s="9" t="inlineStr">
        <is>
          <t>Segment Information</t>
        </is>
      </c>
      <c r="B55" s="9" t="inlineStr">
        <is>
          <t>分部資料</t>
        </is>
      </c>
      <c r="C55" s="9" t="inlineStr">
        <is>
          <t>medium</t>
        </is>
      </c>
      <c r="D55" s="12" t="inlineStr">
        <is>
          <t>segment information</t>
        </is>
      </c>
      <c r="E55" s="12" t="inlineStr">
        <is>
          <t>PDF p.122 (印刷頁 121)</t>
        </is>
      </c>
      <c r="F55" s="12" t="inlineStr">
        <is>
          <t>Notes to the Consolidated Financial Statements For the year ended 31 March 2026 8. REVENUE AND SEGMENT INFORMATION The operating segments have been identified on the basis of internal management reports prepared in accordance with accounting policies in conformity with HKFRS Accounting Standards, that are regularly reviewed by the executive director of the Company, being the chief operating decision maker (the “CODM”) of the Group, for the purpose of resource allocation and assessment of se</t>
        </is>
      </c>
    </row>
    <row r="56">
      <c r="A56" s="9" t="inlineStr">
        <is>
          <t>Segment Information</t>
        </is>
      </c>
      <c r="B56" s="9" t="inlineStr">
        <is>
          <t>分部資料</t>
        </is>
      </c>
      <c r="C56" s="9" t="inlineStr">
        <is>
          <t>medium</t>
        </is>
      </c>
      <c r="D56" s="12" t="inlineStr">
        <is>
          <t>segment information</t>
        </is>
      </c>
      <c r="E56" s="12" t="inlineStr">
        <is>
          <t>PDF p.123 (印刷頁 122)</t>
        </is>
      </c>
      <c r="F56" s="12" t="inlineStr">
        <is>
          <t>Notes to the Consolidated Financial Statements For the year ended 31 March 2026 8. REVENUE AND SEGMENT INFORMATION (continued) OPERATING SEGMENTS (continued) (A) Segment revenue and results The following is an analysis of the Group’s revenue and results by reportable segments. For the year ended 31 March 2026 Sales and integration General services trading Total HK$’000 HK$’000 HK$’000 SEGMENT REVENUE Revenue from external customers recognised at a point in time in accordance with HKFRS 15 3</t>
        </is>
      </c>
    </row>
    <row r="57">
      <c r="A57" s="9" t="inlineStr">
        <is>
          <t>Segment Information</t>
        </is>
      </c>
      <c r="B57" s="9" t="inlineStr">
        <is>
          <t>分部資料</t>
        </is>
      </c>
      <c r="C57" s="9" t="inlineStr">
        <is>
          <t>medium</t>
        </is>
      </c>
      <c r="D57" s="12" t="inlineStr">
        <is>
          <t>segment information</t>
        </is>
      </c>
      <c r="E57" s="12" t="inlineStr">
        <is>
          <t>PDF p.124 (印刷頁 123)</t>
        </is>
      </c>
      <c r="F57" s="12" t="inlineStr">
        <is>
          <t>Notes to the Consolidated Financial Statements For the year ended 31 March 2026 8. REVENUE AND SEGMENT INFORMATION (continued) OPERATING SEGMENTS (continued) (A) Segment revenue and results (continued) For the year ended 31 March 2025 Sales and integration General services trading Total HK$’000 HK$’000 HK$’000 SEGMENT REVENUE Revenue from external customers recognised at a point in time in accordance with HKFRS 15 63,389 202,949 266,338 SEGMENT RESULTS 54 2,160 2,214 Unallocated corporate i</t>
        </is>
      </c>
    </row>
    <row r="58">
      <c r="A58" s="9" t="inlineStr">
        <is>
          <t>Segment Information</t>
        </is>
      </c>
      <c r="B58" s="9" t="inlineStr">
        <is>
          <t>分部資料</t>
        </is>
      </c>
      <c r="C58" s="9" t="inlineStr">
        <is>
          <t>medium</t>
        </is>
      </c>
      <c r="D58" s="12" t="inlineStr">
        <is>
          <t>segment information</t>
        </is>
      </c>
      <c r="E58" s="12" t="inlineStr">
        <is>
          <t>PDF p.125 (印刷頁 124)</t>
        </is>
      </c>
      <c r="F58" s="12" t="inlineStr">
        <is>
          <t>Notes to the Consolidated Financial Statements For the year ended 31 March 2026 8. REVENUE AND SEGMENT INFORMATION (continued) OPERATING SEGMENTS (continued) (B) Segment assets and liabilities The following is an analysis of the Group’s assets and liabilities by reportable segments. At 31 March 2026 Sales and integration General services trading Total HK$’000 HK$’000 HK$’000 Segment assets 42,760 37,336 80,096 Unallocated assets 2,953 Consolidated assets 83,049 Segment liabilities 26,896 42</t>
        </is>
      </c>
    </row>
    <row r="59">
      <c r="A59" s="9" t="inlineStr">
        <is>
          <t>Segment Information</t>
        </is>
      </c>
      <c r="B59" s="9" t="inlineStr">
        <is>
          <t>分部資料</t>
        </is>
      </c>
      <c r="C59" s="9" t="inlineStr">
        <is>
          <t>medium</t>
        </is>
      </c>
      <c r="D59" s="12" t="inlineStr">
        <is>
          <t>segment information</t>
        </is>
      </c>
      <c r="E59" s="12" t="inlineStr">
        <is>
          <t>PDF p.126 (印刷頁 125)</t>
        </is>
      </c>
      <c r="F59" s="12" t="inlineStr">
        <is>
          <t>Notes to the Consolidated Financial Statements For the year ended 31 March 2026 8. REVENUE AND SEGMENT INFORMATION (continued) OPERATING SEGMENTS (continued) (B) Segment assets and liabilities (continued) For the purposes of monitoring segment performance and allocating resources between operating segments, all assets are allocated to reporting segments other than certain other receivables and bank balances and cash for central administration while all liabilities are allocated to reporting</t>
        </is>
      </c>
    </row>
    <row r="60">
      <c r="A60" s="9" t="inlineStr">
        <is>
          <t>Segment Information</t>
        </is>
      </c>
      <c r="B60" s="9" t="inlineStr">
        <is>
          <t>分部資料</t>
        </is>
      </c>
      <c r="C60" s="9" t="inlineStr">
        <is>
          <t>medium</t>
        </is>
      </c>
      <c r="D60" s="12" t="inlineStr">
        <is>
          <t>segment information</t>
        </is>
      </c>
      <c r="E60" s="12" t="inlineStr">
        <is>
          <t>PDF p.127 (印刷頁 126)</t>
        </is>
      </c>
      <c r="F60" s="12" t="inlineStr">
        <is>
          <t>Notes to the Consolidated Financial Statements For the year ended 31 March 2026 8. REVENUE AND SEGMENT INFORMATION (continued) OPERATING SEGMENTS (continued) (C) Other segment information (continued) For the year ended 31 March 2025 Sales and integration General services trading Unallocated Total HK$’000 HK$’000 HK$’000 HK$’000 Additions to right-of-use assets – 373 – 373 Depreciation of right-of-use assets – 187 – 187 Impairment loss on right-of-use assets – 186 – 186 Gain on modification</t>
        </is>
      </c>
    </row>
    <row r="61">
      <c r="A61" s="9" t="inlineStr">
        <is>
          <t>Segment Information</t>
        </is>
      </c>
      <c r="B61" s="9" t="inlineStr">
        <is>
          <t>分部資料</t>
        </is>
      </c>
      <c r="C61" s="9" t="inlineStr">
        <is>
          <t>medium</t>
        </is>
      </c>
      <c r="D61" s="12" t="inlineStr">
        <is>
          <t>segment information</t>
        </is>
      </c>
      <c r="E61" s="12" t="inlineStr">
        <is>
          <t>PDF p.128 (印刷頁 127)</t>
        </is>
      </c>
      <c r="F61" s="12" t="inlineStr">
        <is>
          <t>Notes to the Consolidated Financial Statements For the year ended 31 March 2026 8. REVENUE AND SEGMENT INFORMATION (continued) OPERATING SEGMENTS (continued) (E) Information about major customers Revenue from major customers, each of whom amounted to 10% (2025: 10%) or more of the Group’s revenue, is set out below: 2026 2025 HK$’000 HK$’000 General trading Customer A Nil 35,506 Customer B 83,819 Nil Customer C 41,563 N/A* Customer D 33,118 Nil Customer E 35,180 Nil Sales and integration ser</t>
        </is>
      </c>
    </row>
    <row r="62">
      <c r="A62" s="9" t="inlineStr">
        <is>
          <t>Share-based Payment</t>
        </is>
      </c>
      <c r="B62" s="9" t="inlineStr">
        <is>
          <t>以股份為基礎的付款</t>
        </is>
      </c>
      <c r="C62" s="9" t="inlineStr">
        <is>
          <t>medium</t>
        </is>
      </c>
      <c r="D62" s="12" t="inlineStr">
        <is>
          <t>share-based payment</t>
        </is>
      </c>
      <c r="E62" s="12" t="inlineStr">
        <is>
          <t>PDF p.5 (印刷頁 4)</t>
        </is>
      </c>
      <c r="F62" s="12" t="inlineStr">
        <is>
          <t>ased by 16.38% to approximately HK$10,603,000 (2025: approximately HK$9,111,000). Such increase was mainly due to the recognition of share-based payment expenses of approximately HK$1,976,000 during the year ended 31 March 2026. During the year ended 31 March 2026, the finance costs increased by 5.45% to approximately HK$29,719,000 as compared to approximately HK$28,183,000 for the year ended 31 March 2025. Such increase was mainly due to the imputed interests for the new convertible bonds of HK$45,000,000 issued on 26 June 202</t>
        </is>
      </c>
    </row>
    <row r="63">
      <c r="A63" s="9" t="inlineStr">
        <is>
          <t>Share-based Payment</t>
        </is>
      </c>
      <c r="B63" s="9" t="inlineStr">
        <is>
          <t>以股份為基礎的付款</t>
        </is>
      </c>
      <c r="C63" s="9" t="inlineStr">
        <is>
          <t>medium</t>
        </is>
      </c>
      <c r="D63" s="12" t="inlineStr">
        <is>
          <t>share option</t>
        </is>
      </c>
      <c r="E63" s="12" t="inlineStr">
        <is>
          <t>PDF p.14 (印刷頁 13)</t>
        </is>
      </c>
      <c r="F63" s="12" t="inlineStr">
        <is>
          <t>Report of the Directors SHARE OPTION SCHEME The share option scheme adopted by the Company (the “Share Option Scheme”) at the special general meeting held on 25 September 2015 (the “Adoption Date”), the scheme mandate limit for the Share Option Scheme was approved by the then shareholders to allow the Company to grant share options entitling holders thereof to subscribe for up to 26,738,953 shares, representing approxima</t>
        </is>
      </c>
    </row>
    <row r="64">
      <c r="A64" s="9" t="inlineStr">
        <is>
          <t>Share-based Payment</t>
        </is>
      </c>
      <c r="B64" s="9" t="inlineStr">
        <is>
          <t>以股份為基礎的付款</t>
        </is>
      </c>
      <c r="C64" s="9" t="inlineStr">
        <is>
          <t>medium</t>
        </is>
      </c>
      <c r="D64" s="12" t="inlineStr">
        <is>
          <t>share option</t>
        </is>
      </c>
      <c r="E64" s="12" t="inlineStr">
        <is>
          <t>PDF p.15 (印刷頁 14)</t>
        </is>
      </c>
      <c r="F64" s="12" t="inlineStr">
        <is>
          <t>Report of the Directors SHARE OPTION SCHEME (continued) Movements in the number of share options outstanding and their related weighted average exercise price as follows: 2026 2025 Number of Exercise price Number of Exercise price options per share option options per share option Outstanding at the beginning of the year – – – – Granted during the year 26,738,950 0.191 – – Outstanding at the end of the year 26,738,950 0.1</t>
        </is>
      </c>
    </row>
    <row r="65">
      <c r="A65" s="9" t="inlineStr">
        <is>
          <t>Share-based Payment</t>
        </is>
      </c>
      <c r="B65" s="9" t="inlineStr">
        <is>
          <t>以股份為基礎的付款</t>
        </is>
      </c>
      <c r="C65" s="9" t="inlineStr">
        <is>
          <t>medium</t>
        </is>
      </c>
      <c r="D65" s="12" t="inlineStr">
        <is>
          <t>share option</t>
        </is>
      </c>
      <c r="E65" s="12" t="inlineStr">
        <is>
          <t>PDF p.16 (印刷頁 15)</t>
        </is>
      </c>
      <c r="F65" s="12" t="inlineStr">
        <is>
          <t>Report of the Directors SHARE OPTION SCHEME (continued) Where the Board proposes to grant any share options to a participant who is a substantial shareholder or an independent non-executive Director, or their respective associates (including a discretionary trust whose discretionary objects include a substantial shareholder or an independent non-executive Director or a company beneficially owned by any substantial shareh</t>
        </is>
      </c>
    </row>
    <row r="66">
      <c r="A66" s="9" t="inlineStr">
        <is>
          <t>Share-based Payment</t>
        </is>
      </c>
      <c r="B66" s="9" t="inlineStr">
        <is>
          <t>以股份為基礎的付款</t>
        </is>
      </c>
      <c r="C66" s="9" t="inlineStr">
        <is>
          <t>medium</t>
        </is>
      </c>
      <c r="D66" s="12" t="inlineStr">
        <is>
          <t>share option</t>
        </is>
      </c>
      <c r="E66" s="12" t="inlineStr">
        <is>
          <t>PDF p.18 (印刷頁 17)</t>
        </is>
      </c>
      <c r="F66" s="12" t="inlineStr">
        <is>
          <t>of whom are situated in Hong Kong. In addition to offering competitive remuneration packages to employee, discretionary bonuses and share options may also be granted to eligible employees based on individual performance. The Group also encourages its employees to pursue a balanced lifestyle and provides a good working environment for its employees to maximise their potential and contribution to the Group. The remuneration committee of the Company, having regard to the Company’s operating results, individual performance and com</t>
        </is>
      </c>
    </row>
    <row r="67">
      <c r="A67" s="9" t="inlineStr">
        <is>
          <t>Share-based Payment</t>
        </is>
      </c>
      <c r="B67" s="9" t="inlineStr">
        <is>
          <t>以股份為基礎的付款</t>
        </is>
      </c>
      <c r="C67" s="9" t="inlineStr">
        <is>
          <t>medium</t>
        </is>
      </c>
      <c r="D67" s="12" t="inlineStr">
        <is>
          <t>share-based payment</t>
        </is>
      </c>
      <c r="E67" s="12" t="inlineStr">
        <is>
          <t>PDF p.84 (印刷頁 83)</t>
        </is>
      </c>
      <c r="F67" s="12" t="inlineStr">
        <is>
          <t>843 – 843 (202) 641 Total comprehensive income/(expense) for the year – – – – 843 (42,516) (41,673) (2,358) (44,031) Recognition of share-based payments (note 27) – – – 1,976 – – 1,976 – 1,976 Recognition of new convertible bond (note 26) – – 14,563 – – – 14,563 – 14,563 At 31 March 2026 2,674 5,000 118,382 1,976 2,007 (375,028) (244,989) 13,824 (231,165) Annual Report 2026 83</t>
        </is>
      </c>
    </row>
    <row r="68">
      <c r="A68" s="9" t="inlineStr">
        <is>
          <t>Share-based Payment</t>
        </is>
      </c>
      <c r="B68" s="9" t="inlineStr">
        <is>
          <t>以股份為基礎的付款</t>
        </is>
      </c>
      <c r="C68" s="9" t="inlineStr">
        <is>
          <t>medium</t>
        </is>
      </c>
      <c r="D68" s="12" t="inlineStr">
        <is>
          <t>share-based payment</t>
        </is>
      </c>
      <c r="E68" s="12" t="inlineStr">
        <is>
          <t>PDF p.85 (印刷頁 84)</t>
        </is>
      </c>
      <c r="F68" s="12" t="inlineStr">
        <is>
          <t>nded 31 March 2026 2026 2025 HK$’000 HK$’000 CASH FLOWS FROM OPERATING ACTIVITIES Loss before tax (44,672) (10,299) Adjustments for: Share-based payment expenses 1,976 – Interest income on rental deposits (2) (32) Depreciation of right-of-use assets 288 187 Finance costs 29,719 28,183 Impairment loss on right-of-use assets 649 186 Impairment losses/(reversal of impairment losses) of trade and other receivables under ECL model, net 5,376 (1,372) Gain on modification of convertible bonds – (23,598) Operating cash flows before wor</t>
        </is>
      </c>
    </row>
    <row r="69">
      <c r="A69" s="9" t="inlineStr">
        <is>
          <t>Share-based Payment</t>
        </is>
      </c>
      <c r="B69" s="9" t="inlineStr">
        <is>
          <t>以股份為基礎的付款</t>
        </is>
      </c>
      <c r="C69" s="9" t="inlineStr">
        <is>
          <t>medium</t>
        </is>
      </c>
      <c r="D69" s="12" t="inlineStr">
        <is>
          <t>share-based payment</t>
        </is>
      </c>
      <c r="E69" s="12" t="inlineStr">
        <is>
          <t>PDF p.109 (印刷頁 108)</t>
        </is>
      </c>
      <c r="F69" s="12" t="inlineStr">
        <is>
          <t>liquid investments which are readily convertible into known amounts of cash and subject to an insignificant risk of change in value. SHARE-BASED PAYMENTS The Group issues equity-settled share-based payments to certain employees. Equity-settled sharebased payments are measured at the fair value (excluding the effect of non-market based vesting conditions) of the equity instruments at the date of grant. The fair value determined at the grant date of the equity settled share-based payments is expensed on a straight-line basis ov</t>
        </is>
      </c>
    </row>
    <row r="70">
      <c r="A70" s="9" t="inlineStr">
        <is>
          <t>Share-based Payment</t>
        </is>
      </c>
      <c r="B70" s="9" t="inlineStr">
        <is>
          <t>以股份為基礎的付款</t>
        </is>
      </c>
      <c r="C70" s="9" t="inlineStr">
        <is>
          <t>medium</t>
        </is>
      </c>
      <c r="D70" s="12" t="inlineStr">
        <is>
          <t>share-based payment</t>
        </is>
      </c>
      <c r="E70" s="12" t="inlineStr">
        <is>
          <t>PDF p.131 (印刷頁 130)</t>
        </is>
      </c>
      <c r="F70" s="12" t="inlineStr">
        <is>
          <t>directors’ emoluments (note 14)) – Salaries, wages and other benefits 4,195 4,833 – Retirement benefit scheme contributions 89 171 – Share-based payment expenses (note 27) 1,976 – 6,260 5,004 Depreciation of right-of-use assets (note 19) 288 187 Auditor’s remuneration - audit services 500 500 Expenses related to short-term leases (note 19) 1,735 121 Impairment losses/(reversal of impairment losses) on: – Trade receivables 5,426 830 – Deposits and other receivables (50) (2,202) 5,376 (1,372) 130 Wai Chun Group Holdings Limited</t>
        </is>
      </c>
    </row>
    <row r="71">
      <c r="A71" s="9" t="inlineStr">
        <is>
          <t>Share-based Payment</t>
        </is>
      </c>
      <c r="B71" s="9" t="inlineStr">
        <is>
          <t>以股份為基礎的付款</t>
        </is>
      </c>
      <c r="C71" s="9" t="inlineStr">
        <is>
          <t>medium</t>
        </is>
      </c>
      <c r="D71" s="12" t="inlineStr">
        <is>
          <t>share-based payment</t>
        </is>
      </c>
      <c r="E71" s="12" t="inlineStr">
        <is>
          <t>PDF p.135 (印刷頁 134)</t>
        </is>
      </c>
      <c r="F71" s="12" t="inlineStr">
        <is>
          <t>t out below: 2026 2025 HK$’000 HK$’000 Salaries, wages and other benefits 1,105 1,271 Retirement benefit scheme contributions 87 103 Share-based payment expenses 790 – 1,982 1,374 The emoluments fell within the following band: Number of individuals 2026 2025 Nil – HK$1,000,000 4 3 During the years ended 31 March 2026 and 2025, no emoluments were paid by the Group to the highest paid individuals as an inducement to join or upon joining the Group or as compensation for loss of office. 16. DIVIDEND The Board did not recommend the</t>
        </is>
      </c>
    </row>
    <row r="72">
      <c r="A72" s="9" t="inlineStr">
        <is>
          <t>Share-based Payment</t>
        </is>
      </c>
      <c r="B72" s="9" t="inlineStr">
        <is>
          <t>以股份為基礎的付款</t>
        </is>
      </c>
      <c r="C72" s="9" t="inlineStr">
        <is>
          <t>medium</t>
        </is>
      </c>
      <c r="D72" s="12" t="inlineStr">
        <is>
          <t>share option</t>
        </is>
      </c>
      <c r="E72" s="12" t="inlineStr">
        <is>
          <t>PDF p.136 (印刷頁 135)</t>
        </is>
      </c>
      <c r="F72" s="12" t="inlineStr">
        <is>
          <t>diluted loss per share for the years ended 31 March 2026 and 2025 as the conversion of convertible bonds and exercise of outstanding share options would result in decrease in loss per share. Accordingly, the diluted loss per share is the same as the basic loss per share. Annual Report 2026 135</t>
        </is>
      </c>
    </row>
    <row r="73">
      <c r="A73" s="9" t="inlineStr">
        <is>
          <t>Share-based Payment</t>
        </is>
      </c>
      <c r="B73" s="9" t="inlineStr">
        <is>
          <t>以股份為基礎的付款</t>
        </is>
      </c>
      <c r="C73" s="9" t="inlineStr">
        <is>
          <t>medium</t>
        </is>
      </c>
      <c r="D73" s="12" t="inlineStr">
        <is>
          <t>share-based payment</t>
        </is>
      </c>
      <c r="E73" s="12" t="inlineStr">
        <is>
          <t>PDF p.158 (印刷頁 157)</t>
        </is>
      </c>
      <c r="F73" s="12" t="inlineStr">
        <is>
          <t>Notes to the Consolidated Financial Statements For the year ended 31 March 2026 27. SHARE-BASED PAYMENTS SHARE OPTION SCHEME Share options were granted to eligible participants under a share option scheme approved and adopted by the shareholders of the Company on 25 September 2015 (“Share Option Scheme”) for the purpose of providing incentives and rewards to eligible participants who have contributed or will contribute to the growth and development of the Group. Particulars of th</t>
        </is>
      </c>
    </row>
    <row r="74">
      <c r="A74" s="9" t="inlineStr">
        <is>
          <t>Share-based Payment</t>
        </is>
      </c>
      <c r="B74" s="9" t="inlineStr">
        <is>
          <t>以股份為基礎的付款</t>
        </is>
      </c>
      <c r="C74" s="9" t="inlineStr">
        <is>
          <t>medium</t>
        </is>
      </c>
      <c r="D74" s="12" t="inlineStr">
        <is>
          <t>share-based payment</t>
        </is>
      </c>
      <c r="E74" s="12" t="inlineStr">
        <is>
          <t>PDF p.159 (印刷頁 158)</t>
        </is>
      </c>
      <c r="F74" s="12" t="inlineStr">
        <is>
          <t>Notes to the Consolidated Financial Statements For the year ended 31 March 2026 27. SHARE-BASED PAYMENTS (continued) SHARE OPTION SCHEME (continued) As at 31 March 2026, options to subscribe for a total of 26,738,950 (2025: Nil) shares of the Company were still outstanding under the Share Option Scheme which represents approximately 10.00% (2025: Nil) of the issued ordinary shares of the Company. The above options comprising at the end of the year have a weighted average remainin</t>
        </is>
      </c>
    </row>
    <row r="75">
      <c r="A75" s="9" t="inlineStr">
        <is>
          <t>Share-based Payment</t>
        </is>
      </c>
      <c r="B75" s="9" t="inlineStr">
        <is>
          <t>以股份為基礎的付款</t>
        </is>
      </c>
      <c r="C75" s="9" t="inlineStr">
        <is>
          <t>medium</t>
        </is>
      </c>
      <c r="D75" s="12" t="inlineStr">
        <is>
          <t>share-based payment</t>
        </is>
      </c>
      <c r="E75" s="12" t="inlineStr">
        <is>
          <t>PDF p.161 (印刷頁 160)</t>
        </is>
      </c>
      <c r="F75" s="12" t="inlineStr">
        <is>
          <t>sed share options granted to employees of the Company recognised in accordance with the accounting policy adopted for equity-settled share-based payments in note 4. 160 Wai Chun Group Holdings Limited</t>
        </is>
      </c>
    </row>
    <row r="76">
      <c r="A76" s="9" t="inlineStr">
        <is>
          <t>Related Party Transactions</t>
        </is>
      </c>
      <c r="B76" s="9" t="inlineStr">
        <is>
          <t>關聯方交易</t>
        </is>
      </c>
      <c r="C76" s="9" t="inlineStr">
        <is>
          <t>low</t>
        </is>
      </c>
      <c r="D76" s="12" t="inlineStr">
        <is>
          <t>connected transaction</t>
        </is>
      </c>
      <c r="E76" s="12" t="inlineStr">
        <is>
          <t>PDF p.11 (印刷頁 10)</t>
        </is>
      </c>
      <c r="F76" s="12" t="inlineStr">
        <is>
          <t>orce during the year. DIRECTORS’ INTERESTS IN TRANSACTIONS, ARRANGEMENTS OR CONTRACTS Save as disclosed below in the section headed “Connected Transactions and Continuing Connected Transactions” and in note 32 to the consolidated financial statements, there are no transactions, arrangements or contracts of significance to which the Company’s holding company, subsidiaries or fellow subsidiaries was a party and in which a Director or a connected entity of a director of the Company had a material interest, whether directly or indi</t>
        </is>
      </c>
    </row>
    <row r="77">
      <c r="A77" s="9" t="inlineStr">
        <is>
          <t>Related Party Transactions</t>
        </is>
      </c>
      <c r="B77" s="9" t="inlineStr">
        <is>
          <t>關聯方交易</t>
        </is>
      </c>
      <c r="C77" s="9" t="inlineStr">
        <is>
          <t>low</t>
        </is>
      </c>
      <c r="D77" s="12" t="inlineStr">
        <is>
          <t>connected transaction</t>
        </is>
      </c>
      <c r="E77" s="12" t="inlineStr">
        <is>
          <t>PDF p.17 (印刷頁 16)</t>
        </is>
      </c>
      <c r="F77" s="12" t="inlineStr">
        <is>
          <t>Report of the Directors CONNECTED TRANSACTIONS AND CONTINUING CONNECTED TRANSACTIONS During the year ended 31 March 2026, the Group has not entered into any transaction which constituted non-exempt continuing connected transactions under the Listing Rules. There is no other material connected transaction and material continuing connected transaction during and for the year ended 31 March 2026. COMPLIANCE WITH DISCLOSURE</t>
        </is>
      </c>
    </row>
    <row r="78">
      <c r="A78" s="9" t="inlineStr">
        <is>
          <t>Related Party Transactions</t>
        </is>
      </c>
      <c r="B78" s="9" t="inlineStr">
        <is>
          <t>關聯方交易</t>
        </is>
      </c>
      <c r="C78" s="9" t="inlineStr">
        <is>
          <t>low</t>
        </is>
      </c>
      <c r="D78" s="12" t="inlineStr">
        <is>
          <t>related party</t>
        </is>
      </c>
      <c r="E78" s="12" t="inlineStr">
        <is>
          <t>PDF p.23 (印刷頁 22)</t>
        </is>
      </c>
      <c r="F78" s="12" t="inlineStr">
        <is>
          <t>l conflicts of interest of the Board, senior management and shareholders; • consideration of misuse of corporate assets and abuse in related party transactions; and • ensuring processes are in place to maintain the overall integrity of the Company, including financial statements, relationships with suppliers, customers and other stakeholders, and compliance with all laws and ethics. To enable the Directors to meet their obligations, an appropriate organisational structure is in place with clearly defined responsibilities and li</t>
        </is>
      </c>
    </row>
    <row r="79">
      <c r="A79" s="9" t="inlineStr">
        <is>
          <t>Related Party Transactions</t>
        </is>
      </c>
      <c r="B79" s="9" t="inlineStr">
        <is>
          <t>關聯方交易</t>
        </is>
      </c>
      <c r="C79" s="9" t="inlineStr">
        <is>
          <t>low</t>
        </is>
      </c>
      <c r="D79" s="12" t="inlineStr">
        <is>
          <t>related party</t>
        </is>
      </c>
      <c r="E79" s="12" t="inlineStr">
        <is>
          <t>PDF p.129 (印刷頁 128)</t>
        </is>
      </c>
      <c r="F79" s="12" t="inlineStr">
        <is>
          <t>terest expenses on: – Loans from ultimate holding company 653 971 – Loans from ultimate controlling party 549 1,300 – Advance from a related party 287 269 – Overdue convertible bond coupon interest payables 1,529 1,207 29,719 28,183 128 Wai Chun Group Holdings Limited</t>
        </is>
      </c>
    </row>
    <row r="80">
      <c r="A80" s="9" t="inlineStr">
        <is>
          <t>Related Party Transactions</t>
        </is>
      </c>
      <c r="B80" s="9" t="inlineStr">
        <is>
          <t>關聯方交易</t>
        </is>
      </c>
      <c r="C80" s="9" t="inlineStr">
        <is>
          <t>low</t>
        </is>
      </c>
      <c r="D80" s="12" t="inlineStr">
        <is>
          <t>related party</t>
        </is>
      </c>
      <c r="E80" s="12" t="inlineStr">
        <is>
          <t>PDF p.143 (印刷頁 142)</t>
        </is>
      </c>
      <c r="F80" s="12" t="inlineStr">
        <is>
          <t>les (note (a)) 20,440 19,765 – Interest on overdue convertible bond coupon interest payables (note (b)) 5,360 3,831 – Advance from a related party (note (c)) 4,341 4,185 – Advance from a director (note (e)) – 10,715 – VAT tax payables in PRC 3,094 2,924 – Others (notes (d) and (f)) 6,995 6,700 40,230 48,120 100,098 69,453 Analysed as: Current liabilities 100,098 65,268 Non-current liabilities – 4,185 100,098 69,453 142 Wai Chun Group Holdings Limited</t>
        </is>
      </c>
    </row>
    <row r="81">
      <c r="A81" s="9" t="inlineStr">
        <is>
          <t>Related Party Transactions</t>
        </is>
      </c>
      <c r="B81" s="9" t="inlineStr">
        <is>
          <t>關聯方交易</t>
        </is>
      </c>
      <c r="C81" s="9" t="inlineStr">
        <is>
          <t>low</t>
        </is>
      </c>
      <c r="D81" s="12" t="inlineStr">
        <is>
          <t>related party</t>
        </is>
      </c>
      <c r="E81" s="12" t="inlineStr">
        <is>
          <t>PDF p.144 (印刷頁 143)</t>
        </is>
      </c>
      <c r="F81" s="12" t="inlineStr">
        <is>
          <t>y of the Company and approximately HK$415,000 (2025: HK$238,000) due to immediate holding company of the Company. (c) Advance from a related party represents advance for settlement of the operating expenses of the PRC subsidiaries of the Company. The balances are charged at 6.25% per annum, unsecured and with no fixed term of repayment. (d) In September 2023, the Company received a writ of summons issued in the Court of First Instance of the High Court of the Hong Kong Special Administrative Region by a plaintiff against the Co</t>
        </is>
      </c>
    </row>
    <row r="82">
      <c r="A82" s="9" t="inlineStr">
        <is>
          <t>Related Party Transactions</t>
        </is>
      </c>
      <c r="B82" s="9" t="inlineStr">
        <is>
          <t>關聯方交易</t>
        </is>
      </c>
      <c r="C82" s="9" t="inlineStr">
        <is>
          <t>low</t>
        </is>
      </c>
      <c r="D82" s="12" t="inlineStr">
        <is>
          <t>related party</t>
        </is>
      </c>
      <c r="E82" s="12" t="inlineStr">
        <is>
          <t>PDF p.162 (印刷頁 161)</t>
        </is>
      </c>
      <c r="F82" s="12" t="inlineStr">
        <is>
          <t>1 Current assets Deposit and other receivables 444 444 Current liabilities Accruals and other payables 30,753 28,423 Amount due to a related party 6,732 – Amounts due to subsidiaries 9,386 9,390 Loans from ultimate holding company 10,158 25,782 Loans from ultimate controlling party 1,259 12,029 58,288 75,624 Net current liabilities (57,844) (75,180) Total assets less current liabilities (57,843) (75,179) Non-current liabilities Amount due to a related party – 6,329 Convertible bonds 196,875 140,444 196,875 146,773 NET LIABILITI</t>
        </is>
      </c>
    </row>
    <row r="83">
      <c r="A83" s="9" t="inlineStr">
        <is>
          <t>Related Party Transactions</t>
        </is>
      </c>
      <c r="B83" s="9" t="inlineStr">
        <is>
          <t>關聯方交易</t>
        </is>
      </c>
      <c r="C83" s="9" t="inlineStr">
        <is>
          <t>low</t>
        </is>
      </c>
      <c r="D83" s="12" t="inlineStr">
        <is>
          <t>related party</t>
        </is>
      </c>
      <c r="E83" s="12" t="inlineStr">
        <is>
          <t>PDF p.166 (印刷頁 165)</t>
        </is>
      </c>
      <c r="F83" s="12" t="inlineStr">
        <is>
          <t>Notes to the Consolidated Financial Statements For the year ended 31 March 2026 32. RELATED PARTY TRANSACTIONS In addition to those related party transactions and balances disclosed elsewhere in the consolidated financial statements, the Group had the following transactions with its related parties during the years ended 31 March 2026 and 2025: (A) TRANSACTIONS WITH RELATED PARTIES 2026 2025 HK$’000 HK$’000 Convertible bonds coupon interest payable to Mr. Lam during the year (not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5"/>
  <sheetViews>
    <sheetView workbookViewId="0">
      <pane ySplit="34" topLeftCell="A3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8" t="inlineStr">
        <is>
          <t>報表 Statement</t>
        </is>
      </c>
      <c r="B7" s="8" t="inlineStr">
        <is>
          <t>未擷取科目 Missing item</t>
        </is>
      </c>
    </row>
    <row r="8">
      <c r="A8" s="9" t="inlineStr">
        <is>
          <t>Income Statement</t>
        </is>
      </c>
      <c r="B8" s="9" t="inlineStr">
        <is>
          <t>Operating Profit</t>
        </is>
      </c>
    </row>
    <row r="9">
      <c r="A9" s="9" t="inlineStr">
        <is>
          <t>Income Statement</t>
        </is>
      </c>
      <c r="B9" s="9" t="inlineStr">
        <is>
          <t>R&amp;D Expenses</t>
        </is>
      </c>
    </row>
    <row r="10">
      <c r="A10" s="9" t="inlineStr">
        <is>
          <t>Income Statement</t>
        </is>
      </c>
      <c r="B10" s="9" t="inlineStr">
        <is>
          <t>Depreciation</t>
        </is>
      </c>
    </row>
    <row r="11">
      <c r="A11" s="9" t="inlineStr">
        <is>
          <t>Income Statement</t>
        </is>
      </c>
      <c r="B11" s="9" t="inlineStr">
        <is>
          <t>Amortisation</t>
        </is>
      </c>
    </row>
    <row r="12">
      <c r="A12" s="9" t="inlineStr">
        <is>
          <t>Balance Sheet</t>
        </is>
      </c>
      <c r="B12" s="9" t="inlineStr">
        <is>
          <t>Total Assets</t>
        </is>
      </c>
    </row>
    <row r="13">
      <c r="A13" s="9" t="inlineStr">
        <is>
          <t>Balance Sheet</t>
        </is>
      </c>
      <c r="B13" s="9" t="inlineStr">
        <is>
          <t>Total Current Assets</t>
        </is>
      </c>
    </row>
    <row r="14">
      <c r="A14" s="9" t="inlineStr">
        <is>
          <t>Balance Sheet</t>
        </is>
      </c>
      <c r="B14" s="9" t="inlineStr">
        <is>
          <t>Cash and Equivalents</t>
        </is>
      </c>
    </row>
    <row r="15">
      <c r="A15" s="9" t="inlineStr">
        <is>
          <t>Balance Sheet</t>
        </is>
      </c>
      <c r="B15" s="9" t="inlineStr">
        <is>
          <t>Inventories</t>
        </is>
      </c>
    </row>
    <row r="16">
      <c r="A16" s="9" t="inlineStr">
        <is>
          <t>Balance Sheet</t>
        </is>
      </c>
      <c r="B16" s="9" t="inlineStr">
        <is>
          <t>Trade Receivables</t>
        </is>
      </c>
    </row>
    <row r="17">
      <c r="A17" s="9" t="inlineStr">
        <is>
          <t>Balance Sheet</t>
        </is>
      </c>
      <c r="B17" s="9" t="inlineStr">
        <is>
          <t>Goodwill</t>
        </is>
      </c>
    </row>
    <row r="18">
      <c r="A18" s="9" t="inlineStr">
        <is>
          <t>Balance Sheet</t>
        </is>
      </c>
      <c r="B18" s="9" t="inlineStr">
        <is>
          <t>Intangible Assets</t>
        </is>
      </c>
    </row>
    <row r="19">
      <c r="A19" s="9" t="inlineStr">
        <is>
          <t>Balance Sheet</t>
        </is>
      </c>
      <c r="B19" s="9" t="inlineStr">
        <is>
          <t>Investment Properties</t>
        </is>
      </c>
    </row>
    <row r="20">
      <c r="A20" s="9" t="inlineStr">
        <is>
          <t>Balance Sheet</t>
        </is>
      </c>
      <c r="B20" s="9" t="inlineStr">
        <is>
          <t>Property Plant and Equipment</t>
        </is>
      </c>
    </row>
    <row r="21">
      <c r="A21" s="9" t="inlineStr">
        <is>
          <t>Balance Sheet</t>
        </is>
      </c>
      <c r="B21" s="9" t="inlineStr">
        <is>
          <t>Total Liabilities</t>
        </is>
      </c>
    </row>
    <row r="22">
      <c r="A22" s="9" t="inlineStr">
        <is>
          <t>Balance Sheet</t>
        </is>
      </c>
      <c r="B22" s="9" t="inlineStr">
        <is>
          <t>Total Current Liabilities</t>
        </is>
      </c>
    </row>
    <row r="23">
      <c r="A23" s="9" t="inlineStr">
        <is>
          <t>Balance Sheet</t>
        </is>
      </c>
      <c r="B23" s="9" t="inlineStr">
        <is>
          <t>Borrowings</t>
        </is>
      </c>
    </row>
    <row r="24">
      <c r="A24" s="9" t="inlineStr">
        <is>
          <t>Balance Sheet</t>
        </is>
      </c>
      <c r="B24" s="9" t="inlineStr">
        <is>
          <t>Total Equity</t>
        </is>
      </c>
    </row>
    <row r="25">
      <c r="A25" s="9" t="inlineStr">
        <is>
          <t>Cash Flow</t>
        </is>
      </c>
      <c r="B25" s="9" t="inlineStr">
        <is>
          <t>Operating Cash Flow</t>
        </is>
      </c>
    </row>
    <row r="26">
      <c r="A26" s="9" t="inlineStr">
        <is>
          <t>Cash Flow</t>
        </is>
      </c>
      <c r="B26" s="9" t="inlineStr">
        <is>
          <t>Investing Cash Flow</t>
        </is>
      </c>
    </row>
    <row r="27">
      <c r="A27" s="9" t="inlineStr">
        <is>
          <t>Cash Flow</t>
        </is>
      </c>
      <c r="B27" s="9" t="inlineStr">
        <is>
          <t>Financing Cash Flow</t>
        </is>
      </c>
    </row>
    <row r="28">
      <c r="A28" s="9" t="inlineStr">
        <is>
          <t>Cash Flow</t>
        </is>
      </c>
      <c r="B28" s="9" t="inlineStr">
        <is>
          <t>Capital Expenditure</t>
        </is>
      </c>
    </row>
    <row r="31">
      <c r="A31" s="5" t="inlineStr">
        <is>
          <t>二、文字量過低的頁面(疑似掃描頁)</t>
        </is>
      </c>
    </row>
    <row r="32">
      <c r="A32" s="2" t="inlineStr">
        <is>
          <t>這些頁面幾乎抓不到文字,通常是掃描件或純圖表,建議人手翻閱或另行 OCR。</t>
        </is>
      </c>
    </row>
    <row r="34">
      <c r="A34" s="8" t="inlineStr">
        <is>
          <t>PDF 頁碼</t>
        </is>
      </c>
      <c r="B34" s="8" t="inlineStr">
        <is>
          <t>狀態</t>
        </is>
      </c>
    </row>
    <row r="35">
      <c r="A35" s="9" t="n">
        <v>1</v>
      </c>
      <c r="B35" s="9"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2026-08-30T14:16:14Z</dcterms:created>
  <dcterms:modified xsi:type="dcterms:W3CDTF">2026-08-30T14:16:14Z</dcterms:modified>
</cp:coreProperties>
</file>
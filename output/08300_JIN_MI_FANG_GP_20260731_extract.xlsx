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08300_JIN_MI_FANG_GP_20260731.pdf</t>
        </is>
      </c>
    </row>
    <row r="5">
      <c r="A5" s="3" t="inlineStr">
        <is>
          <t>產生時間 Generated</t>
        </is>
      </c>
      <c r="B5" s="4" t="inlineStr">
        <is>
          <t>2026-08-30 22:16</t>
        </is>
      </c>
    </row>
    <row r="6">
      <c r="A6" s="4" t="inlineStr"/>
      <c r="B6" s="4" t="inlineStr"/>
    </row>
    <row r="7">
      <c r="A7" s="3" t="inlineStr">
        <is>
          <t>總頁數 Total pages</t>
        </is>
      </c>
      <c r="B7" s="4" t="n">
        <v>166</v>
      </c>
    </row>
    <row r="8">
      <c r="A8" s="3" t="inlineStr">
        <is>
          <t>已擷取字元 Characters extracted</t>
        </is>
      </c>
      <c r="B8" s="4" t="n">
        <v>352164</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v>
      </c>
    </row>
    <row r="13">
      <c r="A13" s="3" t="inlineStr">
        <is>
          <t>財務科目擷取筆數 Financial line items</t>
        </is>
      </c>
      <c r="B13" s="4" t="n">
        <v>19</v>
      </c>
    </row>
    <row r="14">
      <c r="A14" s="3" t="inlineStr">
        <is>
          <t>主題段落擷取筆數 Topic extracts</t>
        </is>
      </c>
      <c r="B14" s="4" t="n">
        <v>71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41,957 − 59,242 = -17,285</t>
        </is>
      </c>
    </row>
    <row r="20">
      <c r="A20" s="6" t="inlineStr">
        <is>
          <t>✓ 除稅前溢利 ± 稅項 = 年內溢利</t>
        </is>
      </c>
      <c r="B20" s="4" t="inlineStr">
        <is>
          <t>-3,225 + 269 = -3,494 vs -3,494</t>
        </is>
      </c>
    </row>
    <row r="21">
      <c r="A21" s="6" t="inlineStr">
        <is>
          <t>✓ 三大報表應相鄰</t>
        </is>
      </c>
      <c r="B21" s="4" t="inlineStr">
        <is>
          <t>Income Statement: p.92、Balance Sheet: p.94、Cash Flow: p.97(相距 5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59</v>
      </c>
      <c r="D5" s="10" t="n">
        <v>59</v>
      </c>
      <c r="E5" s="11" t="inlineStr">
        <is>
          <t>59.0%</t>
        </is>
      </c>
      <c r="F5" s="11" t="inlineStr">
        <is>
          <t>High</t>
        </is>
      </c>
      <c r="G5" s="11" t="inlineStr">
        <is>
          <t>PDF p.12 (印刷頁 10)</t>
        </is>
      </c>
      <c r="H5" s="11" t="inlineStr">
        <is>
          <t>catering business in Hong Kong during the year ended 31 March 2026. The Group’s gross profit margin decreased from 59.0% for the year ended 31 March 2025 to 38.0% for the year ended 31 March 2026. This was mainly due to a decrease in revenue from the catering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2025 / 2026; Balance Sheet: 2025 / 2026; Cash Flow: 2025 / 2026</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22189</v>
      </c>
      <c r="D5" s="13" t="n">
        <v>26727</v>
      </c>
      <c r="E5" s="14">
        <f>IF(ISERROR((C5-D5)/ABS(D5)),"",(C5-D5)/ABS(D5))</f>
        <v>-0.16979084820593407</v>
      </c>
      <c r="F5" s="11" t="inlineStr">
        <is>
          <t>PDF p.92 (印刷頁 90)</t>
        </is>
      </c>
      <c r="G5" s="11" t="inlineStr">
        <is>
          <t>Revenue 7 22,189 26,727</t>
        </is>
      </c>
    </row>
    <row r="6">
      <c r="A6" s="8" t="inlineStr">
        <is>
          <t>Income Statement</t>
        </is>
      </c>
      <c r="B6" s="8" t="inlineStr">
        <is>
          <t>Gross Profit</t>
        </is>
      </c>
      <c r="C6" s="12" t="n">
        <v>8434</v>
      </c>
      <c r="D6" s="13" t="n">
        <v>15776</v>
      </c>
      <c r="E6" s="14">
        <f>IF(ISERROR((C6-D6)/ABS(D6)),"",(C6-D6)/ABS(D6))</f>
        <v>-0.4653904665314402</v>
      </c>
      <c r="F6" s="11" t="inlineStr">
        <is>
          <t>PDF p.92 (印刷頁 90)</t>
        </is>
      </c>
      <c r="G6" s="11" t="inlineStr">
        <is>
          <t>Gross profit 8,434 15,776</t>
        </is>
      </c>
    </row>
    <row r="7">
      <c r="A7" s="8" t="inlineStr">
        <is>
          <t>Income Statement</t>
        </is>
      </c>
      <c r="B7" s="8" t="inlineStr">
        <is>
          <t>Depreciation</t>
        </is>
      </c>
      <c r="C7" s="12" t="n">
        <v>-148</v>
      </c>
      <c r="D7" s="13" t="n">
        <v>-93</v>
      </c>
      <c r="E7" s="14">
        <f>IF(ISERROR((C7-D7)/ABS(D7)),"",(C7-D7)/ABS(D7))</f>
        <v>-0.5913978494623656</v>
      </c>
      <c r="F7" s="11" t="inlineStr">
        <is>
          <t>PDF p.92 (印刷頁 90)</t>
        </is>
      </c>
      <c r="G7" s="11" t="inlineStr">
        <is>
          <t>Depreciation (148) (93)</t>
        </is>
      </c>
    </row>
    <row r="8">
      <c r="A8" s="8" t="inlineStr">
        <is>
          <t>Income Statement</t>
        </is>
      </c>
      <c r="B8" s="8" t="inlineStr">
        <is>
          <t>Operating Profit</t>
        </is>
      </c>
      <c r="C8" s="12" t="n">
        <v>-3082</v>
      </c>
      <c r="D8" s="13" t="n">
        <v>-1479</v>
      </c>
      <c r="E8" s="14">
        <f>IF(ISERROR((C8-D8)/ABS(D8)),"",(C8-D8)/ABS(D8))</f>
        <v>-1.0838404327248141</v>
      </c>
      <c r="F8" s="11" t="inlineStr">
        <is>
          <t>PDF p.92 (印刷頁 90)</t>
        </is>
      </c>
      <c r="G8" s="11" t="inlineStr">
        <is>
          <t>Loss from operations (3,082) (1,479)</t>
        </is>
      </c>
    </row>
    <row r="9">
      <c r="A9" s="8" t="inlineStr">
        <is>
          <t>Income Statement</t>
        </is>
      </c>
      <c r="B9" s="8" t="inlineStr">
        <is>
          <t>Finance Costs</t>
        </is>
      </c>
      <c r="C9" s="12" t="n">
        <v>-143</v>
      </c>
      <c r="D9" s="13" t="n">
        <v>-438</v>
      </c>
      <c r="E9" s="14">
        <f>IF(ISERROR((C9-D9)/ABS(D9)),"",(C9-D9)/ABS(D9))</f>
        <v>0.6735159817351598</v>
      </c>
      <c r="F9" s="11" t="inlineStr">
        <is>
          <t>PDF p.92 (印刷頁 90)</t>
        </is>
      </c>
      <c r="G9" s="11" t="inlineStr">
        <is>
          <t>Finance costs 9 (143) (438)</t>
        </is>
      </c>
    </row>
    <row r="10">
      <c r="A10" s="8" t="inlineStr">
        <is>
          <t>Income Statement</t>
        </is>
      </c>
      <c r="B10" s="8" t="inlineStr">
        <is>
          <t>Profit Before Tax</t>
        </is>
      </c>
      <c r="C10" s="12" t="n">
        <v>-3225</v>
      </c>
      <c r="D10" s="13" t="n">
        <v>-1917</v>
      </c>
      <c r="E10" s="14">
        <f>IF(ISERROR((C10-D10)/ABS(D10)),"",(C10-D10)/ABS(D10))</f>
        <v>-0.6823161189358372</v>
      </c>
      <c r="F10" s="11" t="inlineStr">
        <is>
          <t>PDF p.92 (印刷頁 90)</t>
        </is>
      </c>
      <c r="G10" s="11" t="inlineStr">
        <is>
          <t>Loss before tax 10 (3,225) (1,917)</t>
        </is>
      </c>
    </row>
    <row r="11">
      <c r="A11" s="8" t="inlineStr">
        <is>
          <t>Income Statement</t>
        </is>
      </c>
      <c r="B11" s="8" t="inlineStr">
        <is>
          <t>Income Tax</t>
        </is>
      </c>
      <c r="C11" s="12" t="n">
        <v>-269</v>
      </c>
      <c r="D11" s="13" t="n">
        <v>-915</v>
      </c>
      <c r="E11" s="14">
        <f>IF(ISERROR((C11-D11)/ABS(D11)),"",(C11-D11)/ABS(D11))</f>
        <v>0.7060109289617487</v>
      </c>
      <c r="F11" s="11" t="inlineStr">
        <is>
          <t>PDF p.92 (印刷頁 90)</t>
        </is>
      </c>
      <c r="G11" s="11" t="inlineStr">
        <is>
          <t>Income tax expense 13 (269) (915)</t>
        </is>
      </c>
    </row>
    <row r="12">
      <c r="A12" s="8" t="inlineStr">
        <is>
          <t>Income Statement</t>
        </is>
      </c>
      <c r="B12" s="8" t="inlineStr">
        <is>
          <t>Profit for the Year</t>
        </is>
      </c>
      <c r="C12" s="12" t="n">
        <v>-3494</v>
      </c>
      <c r="D12" s="13" t="n">
        <v>-2832</v>
      </c>
      <c r="E12" s="14">
        <f>IF(ISERROR((C12-D12)/ABS(D12)),"",(C12-D12)/ABS(D12))</f>
        <v>-0.23375706214689265</v>
      </c>
      <c r="F12" s="11" t="inlineStr">
        <is>
          <t>PDF p.92 (印刷頁 90)</t>
        </is>
      </c>
      <c r="G12" s="11" t="inlineStr">
        <is>
          <t>Loss for the year (3,494) (2,832)</t>
        </is>
      </c>
    </row>
    <row r="13">
      <c r="A13" s="8" t="inlineStr">
        <is>
          <t>Balance Sheet</t>
        </is>
      </c>
      <c r="B13" s="8" t="inlineStr">
        <is>
          <t>Property Plant and Equipment</t>
        </is>
      </c>
      <c r="C13" s="12" t="n">
        <v>42</v>
      </c>
      <c r="D13" s="13" t="n">
        <v>50</v>
      </c>
      <c r="E13" s="14">
        <f>IF(ISERROR((C13-D13)/ABS(D13)),"",(C13-D13)/ABS(D13))</f>
        <v>-0.16</v>
      </c>
      <c r="F13" s="11" t="inlineStr">
        <is>
          <t>PDF p.94 (印刷頁 92)</t>
        </is>
      </c>
      <c r="G13" s="11" t="inlineStr">
        <is>
          <t>Property, plant and equipment 16 42 50</t>
        </is>
      </c>
    </row>
    <row r="14">
      <c r="A14" s="8" t="inlineStr">
        <is>
          <t>Balance Sheet</t>
        </is>
      </c>
      <c r="B14" s="8" t="inlineStr">
        <is>
          <t>Intangible Assets</t>
        </is>
      </c>
      <c r="C14" s="12" t="n">
        <v>0</v>
      </c>
      <c r="D14" s="13" t="n">
        <v>0</v>
      </c>
      <c r="E14" s="14" t="str">
        <f>IF(ISERROR((C14-D14)/ABS(D14)),"",(C14-D14)/ABS(D14))</f>
        <v/>
      </c>
      <c r="F14" s="11" t="inlineStr">
        <is>
          <t>PDF p.94 (印刷頁 92)</t>
        </is>
      </c>
      <c r="G14" s="11" t="inlineStr">
        <is>
          <t>Intangible assets 18 – –</t>
        </is>
      </c>
    </row>
    <row r="15">
      <c r="A15" s="8" t="inlineStr">
        <is>
          <t>Balance Sheet</t>
        </is>
      </c>
      <c r="B15" s="8" t="inlineStr">
        <is>
          <t>Inventories</t>
        </is>
      </c>
      <c r="C15" s="12" t="n">
        <v>31</v>
      </c>
      <c r="D15" s="13" t="n">
        <v>198</v>
      </c>
      <c r="E15" s="14">
        <f>IF(ISERROR((C15-D15)/ABS(D15)),"",(C15-D15)/ABS(D15))</f>
        <v>-0.8434343434343434</v>
      </c>
      <c r="F15" s="11" t="inlineStr">
        <is>
          <t>PDF p.94 (印刷頁 92)</t>
        </is>
      </c>
      <c r="G15" s="11" t="inlineStr">
        <is>
          <t>Inventories 19 31 198</t>
        </is>
      </c>
    </row>
    <row r="16">
      <c r="A16" s="8" t="inlineStr">
        <is>
          <t>Balance Sheet</t>
        </is>
      </c>
      <c r="B16" s="8" t="inlineStr">
        <is>
          <t>Trade Receivables</t>
        </is>
      </c>
      <c r="C16" s="12" t="n">
        <v>31966</v>
      </c>
      <c r="D16" s="13" t="n">
        <v>15288</v>
      </c>
      <c r="E16" s="14">
        <f>IF(ISERROR((C16-D16)/ABS(D16)),"",(C16-D16)/ABS(D16))</f>
        <v>1.0909209837781266</v>
      </c>
      <c r="F16" s="11" t="inlineStr">
        <is>
          <t>PDF p.94 (印刷頁 92)</t>
        </is>
      </c>
      <c r="G16" s="11" t="inlineStr">
        <is>
          <t>Trade receivables 20 31,966 15,288</t>
        </is>
      </c>
    </row>
    <row r="17">
      <c r="A17" s="8" t="inlineStr">
        <is>
          <t>Balance Sheet</t>
        </is>
      </c>
      <c r="B17" s="8" t="inlineStr">
        <is>
          <t>Cash and Equivalents</t>
        </is>
      </c>
      <c r="C17" s="12" t="n">
        <v>9353</v>
      </c>
      <c r="D17" s="13" t="n">
        <v>300</v>
      </c>
      <c r="E17" s="14">
        <f>IF(ISERROR((C17-D17)/ABS(D17)),"",(C17-D17)/ABS(D17))</f>
        <v>30.176666666666666</v>
      </c>
      <c r="F17" s="11" t="inlineStr">
        <is>
          <t>PDF p.94 (印刷頁 92)</t>
        </is>
      </c>
      <c r="G17" s="11" t="inlineStr">
        <is>
          <t>Cash and cash equivalents 22 9,353 300</t>
        </is>
      </c>
    </row>
    <row r="18">
      <c r="A18" s="8" t="inlineStr">
        <is>
          <t>Balance Sheet</t>
        </is>
      </c>
      <c r="B18" s="8" t="inlineStr">
        <is>
          <t>Borrowings</t>
        </is>
      </c>
      <c r="C18" s="12" t="n">
        <v>3857</v>
      </c>
      <c r="D18" s="13" t="n">
        <v>4730</v>
      </c>
      <c r="E18" s="14">
        <f>IF(ISERROR((C18-D18)/ABS(D18)),"",(C18-D18)/ABS(D18))</f>
        <v>-0.18456659619450316</v>
      </c>
      <c r="F18" s="11" t="inlineStr">
        <is>
          <t>PDF p.94 (印刷頁 92)</t>
        </is>
      </c>
      <c r="G18" s="11" t="inlineStr">
        <is>
          <t>Bank borrowings 26 3,857 4,730</t>
        </is>
      </c>
    </row>
    <row r="19">
      <c r="A19" s="8" t="inlineStr">
        <is>
          <t>Balance Sheet</t>
        </is>
      </c>
      <c r="B19" s="8" t="inlineStr">
        <is>
          <t>Total Equity</t>
        </is>
      </c>
      <c r="C19" s="12" t="n">
        <v>-17110</v>
      </c>
      <c r="D19" s="13" t="n">
        <v>-14013</v>
      </c>
      <c r="E19" s="14">
        <f>IF(ISERROR((C19-D19)/ABS(D19)),"",(C19-D19)/ABS(D19))</f>
        <v>-0.2210090630129166</v>
      </c>
      <c r="F19" s="11" t="inlineStr">
        <is>
          <t>PDF p.95 (印刷頁 93)</t>
        </is>
      </c>
      <c r="G19" s="11" t="inlineStr">
        <is>
          <t>Total equity (17,110) (14,013)</t>
        </is>
      </c>
    </row>
    <row r="20">
      <c r="A20" s="8" t="inlineStr">
        <is>
          <t>Balance Sheet</t>
        </is>
      </c>
      <c r="B20" s="8" t="inlineStr">
        <is>
          <t>Total Current Assets</t>
        </is>
      </c>
      <c r="C20" s="12" t="n">
        <v>41957</v>
      </c>
      <c r="D20" s="13" t="n">
        <v>16127</v>
      </c>
      <c r="E20" s="14">
        <f>IF(ISERROR((C20-D20)/ABS(D20)),"",(C20-D20)/ABS(D20))</f>
        <v>1.6016618093879829</v>
      </c>
      <c r="F20" s="11" t="inlineStr">
        <is>
          <t>PDF p.94 (印刷頁 92)</t>
        </is>
      </c>
      <c r="G20" s="11" t="inlineStr">
        <is>
          <t>[current assets 區段小計] 41,957 16,127</t>
        </is>
      </c>
    </row>
    <row r="21">
      <c r="A21" s="8" t="inlineStr">
        <is>
          <t>Balance Sheet</t>
        </is>
      </c>
      <c r="B21" s="8" t="inlineStr">
        <is>
          <t>Total Current Liabilities</t>
        </is>
      </c>
      <c r="C21" s="12" t="n">
        <v>59242</v>
      </c>
      <c r="D21" s="13" t="n">
        <v>30341</v>
      </c>
      <c r="E21" s="14">
        <f>IF(ISERROR((C21-D21)/ABS(D21)),"",(C21-D21)/ABS(D21))</f>
        <v>0.9525394680465377</v>
      </c>
      <c r="F21" s="11" t="inlineStr">
        <is>
          <t>PDF p.94 (印刷頁 92)</t>
        </is>
      </c>
      <c r="G21" s="11" t="inlineStr">
        <is>
          <t>[current liabilities 區段小計] 59,242 30,341</t>
        </is>
      </c>
    </row>
    <row r="22">
      <c r="A22" s="8" t="inlineStr">
        <is>
          <t>Cash Flow</t>
        </is>
      </c>
      <c r="B22" s="8" t="inlineStr">
        <is>
          <t>Capital Expenditure</t>
        </is>
      </c>
      <c r="C22" s="12" t="n">
        <v>0</v>
      </c>
      <c r="D22" s="13" t="n">
        <v>-57</v>
      </c>
      <c r="E22" s="14">
        <f>IF(ISERROR((C22-D22)/ABS(D22)),"",(C22-D22)/ABS(D22))</f>
        <v>1.0</v>
      </c>
      <c r="F22" s="11" t="inlineStr">
        <is>
          <t>PDF p.98 (印刷頁 96)</t>
        </is>
      </c>
      <c r="G22" s="11" t="inlineStr">
        <is>
          <t>Purchase of property, plant and equipment – (57)</t>
        </is>
      </c>
    </row>
    <row r="23">
      <c r="A23" s="8" t="inlineStr">
        <is>
          <t>Cash Flow</t>
        </is>
      </c>
      <c r="B23" s="8" t="inlineStr">
        <is>
          <t>Investing Cash Flow</t>
        </is>
      </c>
      <c r="C23" s="12" t="n">
        <v>0</v>
      </c>
      <c r="D23" s="13" t="n">
        <v>-22</v>
      </c>
      <c r="E23" s="14">
        <f>IF(ISERROR((C23-D23)/ABS(D23)),"",(C23-D23)/ABS(D23))</f>
        <v>1.0</v>
      </c>
      <c r="F23" s="11" t="inlineStr">
        <is>
          <t>PDF p.98 (印刷頁 96)</t>
        </is>
      </c>
      <c r="G23" s="11" t="inlineStr">
        <is>
          <t>Net cash used in investing activities – (22)</t>
        </is>
      </c>
    </row>
    <row r="25">
      <c r="A25"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財務數據'!$C$5:$C$23,MATCH("Gross Profit",'Financials 財務數據'!$B$5:$B$23,0))/INDEX('Financials 財務數據'!$C$5:$C$23,MATCH("Revenue",'Financials 財務數據'!$B$5:$B$23,0))),"n/a",INDEX('Financials 財務數據'!$C$5:$C$23,MATCH("Gross Profit",'Financials 財務數據'!$B$5:$B$23,0))/INDEX('Financials 財務數據'!$C$5:$C$23,MATCH("Revenue",'Financials 財務數據'!$B$5:$B$23,0)))</f>
        <v>0.3800982468790842</v>
      </c>
      <c r="C5" s="15">
        <f>IF(ISERROR(INDEX('Financials 財務數據'!$D$5:$D$23,MATCH("Gross Profit",'Financials 財務數據'!$B$5:$B$23,0))/INDEX('Financials 財務數據'!$D$5:$D$23,MATCH("Revenue",'Financials 財務數據'!$B$5:$B$23,0))),"n/a",INDEX('Financials 財務數據'!$D$5:$D$23,MATCH("Gross Profit",'Financials 財務數據'!$B$5:$B$23,0))/INDEX('Financials 財務數據'!$D$5:$D$23,MATCH("Revenue",'Financials 財務數據'!$B$5:$B$23,0)))</f>
        <v>0.5902645265087739</v>
      </c>
      <c r="D5" s="2" t="inlineStr">
        <is>
          <t>毛利 ÷ 收入</t>
        </is>
      </c>
    </row>
    <row r="6">
      <c r="A6" s="4" t="inlineStr">
        <is>
          <t>Net Margin 淨利率</t>
        </is>
      </c>
      <c r="B6" s="15">
        <f>IF(ISERROR(INDEX('Financials 財務數據'!$C$5:$C$23,MATCH("Profit for the Year",'Financials 財務數據'!$B$5:$B$23,0))/INDEX('Financials 財務數據'!$C$5:$C$23,MATCH("Revenue",'Financials 財務數據'!$B$5:$B$23,0))),"n/a",INDEX('Financials 財務數據'!$C$5:$C$23,MATCH("Profit for the Year",'Financials 財務數據'!$B$5:$B$23,0))/INDEX('Financials 財務數據'!$C$5:$C$23,MATCH("Revenue",'Financials 財務數據'!$B$5:$B$23,0)))</f>
        <v>-0.15746541078912976</v>
      </c>
      <c r="C6" s="15">
        <f>IF(ISERROR(INDEX('Financials 財務數據'!$D$5:$D$23,MATCH("Profit for the Year",'Financials 財務數據'!$B$5:$B$23,0))/INDEX('Financials 財務數據'!$D$5:$D$23,MATCH("Revenue",'Financials 財務數據'!$B$5:$B$23,0))),"n/a",INDEX('Financials 財務數據'!$D$5:$D$23,MATCH("Profit for the Year",'Financials 財務數據'!$B$5:$B$23,0))/INDEX('Financials 財務數據'!$D$5:$D$23,MATCH("Revenue",'Financials 財務數據'!$B$5:$B$23,0)))</f>
        <v>-0.10596026490066225</v>
      </c>
      <c r="D6" s="2" t="inlineStr">
        <is>
          <t>年內溢利 ÷ 收入</t>
        </is>
      </c>
    </row>
    <row r="7">
      <c r="A7" s="4" t="inlineStr">
        <is>
          <t>Current Ratio 流動比率</t>
        </is>
      </c>
      <c r="B7" s="16">
        <f>IF(ISERROR(INDEX('Financials 財務數據'!$C$5:$C$23,MATCH("Total Current Assets",'Financials 財務數據'!$B$5:$B$23,0))/INDEX('Financials 財務數據'!$C$5:$C$23,MATCH("Total Current Liabilities",'Financials 財務數據'!$B$5:$B$23,0))),"n/a",INDEX('Financials 財務數據'!$C$5:$C$23,MATCH("Total Current Assets",'Financials 財務數據'!$B$5:$B$23,0))/INDEX('Financials 財務數據'!$C$5:$C$23,MATCH("Total Current Liabilities",'Financials 財務數據'!$B$5:$B$23,0)))</f>
        <v>0.70823064717599</v>
      </c>
      <c r="C7" s="16">
        <f>IF(ISERROR(INDEX('Financials 財務數據'!$D$5:$D$23,MATCH("Total Current Assets",'Financials 財務數據'!$B$5:$B$23,0))/INDEX('Financials 財務數據'!$D$5:$D$23,MATCH("Total Current Liabilities",'Financials 財務數據'!$B$5:$B$23,0))),"n/a",INDEX('Financials 財務數據'!$D$5:$D$23,MATCH("Total Current Assets",'Financials 財務數據'!$B$5:$B$23,0))/INDEX('Financials 財務數據'!$D$5:$D$23,MATCH("Total Current Liabilities",'Financials 財務數據'!$B$5:$B$23,0)))</f>
        <v>0.5315249991760325</v>
      </c>
      <c r="D7" s="2" t="inlineStr">
        <is>
          <t>流動資產 ÷ 流動負債</t>
        </is>
      </c>
    </row>
    <row r="8">
      <c r="A8" s="4" t="inlineStr">
        <is>
          <t>Debt / Equity 負債權益比</t>
        </is>
      </c>
      <c r="B8" s="16" t="str">
        <f>IF(ISERROR(INDEX('Financials 財務數據'!$C$5:$C$23,MATCH("Total Liabilities",'Financials 財務數據'!$B$5:$B$23,0))/INDEX('Financials 財務數據'!$C$5:$C$23,MATCH("Total Equity",'Financials 財務數據'!$B$5:$B$23,0))),"n/a",INDEX('Financials 財務數據'!$C$5:$C$23,MATCH("Total Liabilities",'Financials 財務數據'!$B$5:$B$23,0))/INDEX('Financials 財務數據'!$C$5:$C$23,MATCH("Total Equity",'Financials 財務數據'!$B$5:$B$23,0)))</f>
        <v>n/a</v>
      </c>
      <c r="C8" s="16" t="str">
        <f>IF(ISERROR(INDEX('Financials 財務數據'!$D$5:$D$23,MATCH("Total Liabilities",'Financials 財務數據'!$B$5:$B$23,0))/INDEX('Financials 財務數據'!$D$5:$D$23,MATCH("Total Equity",'Financials 財務數據'!$B$5:$B$23,0))),"n/a",INDEX('Financials 財務數據'!$D$5:$D$23,MATCH("Total Liabilities",'Financials 財務數據'!$B$5:$B$23,0))/INDEX('Financials 財務數據'!$D$5:$D$23,MATCH("Total Equity",'Financials 財務數據'!$B$5:$B$23,0)))</f>
        <v>n/a</v>
      </c>
      <c r="D8" s="2" t="inlineStr">
        <is>
          <t>總負債 ÷ 總權益</t>
        </is>
      </c>
    </row>
    <row r="9">
      <c r="A9" s="4" t="inlineStr">
        <is>
          <t>Goodwill / Total Assets</t>
        </is>
      </c>
      <c r="B9" s="15" t="str">
        <f>IF(ISERROR(INDEX('Financials 財務數據'!$C$5:$C$23,MATCH("Goodwill",'Financials 財務數據'!$B$5:$B$23,0))/INDEX('Financials 財務數據'!$C$5:$C$23,MATCH("Total Assets",'Financials 財務數據'!$B$5:$B$23,0))),"n/a",INDEX('Financials 財務數據'!$C$5:$C$23,MATCH("Goodwill",'Financials 財務數據'!$B$5:$B$23,0))/INDEX('Financials 財務數據'!$C$5:$C$23,MATCH("Total Assets",'Financials 財務數據'!$B$5:$B$23,0)))</f>
        <v>n/a</v>
      </c>
      <c r="C9" s="15" t="str">
        <f>IF(ISERROR(INDEX('Financials 財務數據'!$D$5:$D$23,MATCH("Goodwill",'Financials 財務數據'!$B$5:$B$23,0))/INDEX('Financials 財務數據'!$D$5:$D$23,MATCH("Total Assets",'Financials 財務數據'!$B$5:$B$23,0))),"n/a",INDEX('Financials 財務數據'!$D$5:$D$23,MATCH("Goodwill",'Financials 財務數據'!$B$5:$B$23,0))/INDEX('Financials 財務數據'!$D$5:$D$23,MATCH("Total Assets",'Financials 財務數據'!$B$5:$B$23,0)))</f>
        <v>n/a</v>
      </c>
      <c r="D9" s="2" t="inlineStr">
        <is>
          <t>商譽佔總資產比重 — 減值風險指標</t>
        </is>
      </c>
    </row>
    <row r="10">
      <c r="A10" s="4" t="inlineStr">
        <is>
          <t>Intangibles / Total Assets</t>
        </is>
      </c>
      <c r="B10" s="15" t="str">
        <f>IF(ISERROR(INDEX('Financials 財務數據'!$C$5:$C$23,MATCH("Intangible Assets",'Financials 財務數據'!$B$5:$B$23,0))/INDEX('Financials 財務數據'!$C$5:$C$23,MATCH("Total Assets",'Financials 財務數據'!$B$5:$B$23,0))),"n/a",INDEX('Financials 財務數據'!$C$5:$C$23,MATCH("Intangible Assets",'Financials 財務數據'!$B$5:$B$23,0))/INDEX('Financials 財務數據'!$C$5:$C$23,MATCH("Total Assets",'Financials 財務數據'!$B$5:$B$23,0)))</f>
        <v>n/a</v>
      </c>
      <c r="C10" s="15" t="str">
        <f>IF(ISERROR(INDEX('Financials 財務數據'!$D$5:$D$23,MATCH("Intangible Assets",'Financials 財務數據'!$B$5:$B$23,0))/INDEX('Financials 財務數據'!$D$5:$D$23,MATCH("Total Assets",'Financials 財務數據'!$B$5:$B$23,0))),"n/a",INDEX('Financials 財務數據'!$D$5:$D$23,MATCH("Intangible Assets",'Financials 財務數據'!$B$5:$B$23,0))/INDEX('Financials 財務數據'!$D$5:$D$23,MATCH("Total Assets",'Financials 財務數據'!$B$5:$B$23,0)))</f>
        <v>n/a</v>
      </c>
      <c r="D10" s="2" t="inlineStr">
        <is>
          <t>無形資產佔比</t>
        </is>
      </c>
    </row>
    <row r="11">
      <c r="A11" s="4" t="inlineStr">
        <is>
          <t>ROE 股本回報率</t>
        </is>
      </c>
      <c r="B11" s="15">
        <f>IF(ISERROR(INDEX('Financials 財務數據'!$C$5:$C$23,MATCH("Profit for the Year",'Financials 財務數據'!$B$5:$B$23,0))/INDEX('Financials 財務數據'!$C$5:$C$23,MATCH("Total Equity",'Financials 財務數據'!$B$5:$B$23,0))),"n/a",INDEX('Financials 財務數據'!$C$5:$C$23,MATCH("Profit for the Year",'Financials 財務數據'!$B$5:$B$23,0))/INDEX('Financials 財務數據'!$C$5:$C$23,MATCH("Total Equity",'Financials 財務數據'!$B$5:$B$23,0)))</f>
        <v>0.20420806545879602</v>
      </c>
      <c r="C11" s="15">
        <f>IF(ISERROR(INDEX('Financials 財務數據'!$D$5:$D$23,MATCH("Profit for the Year",'Financials 財務數據'!$B$5:$B$23,0))/INDEX('Financials 財務數據'!$D$5:$D$23,MATCH("Total Equity",'Financials 財務數據'!$B$5:$B$23,0))),"n/a",INDEX('Financials 財務數據'!$D$5:$D$23,MATCH("Profit for the Year",'Financials 財務數據'!$B$5:$B$23,0))/INDEX('Financials 財務數據'!$D$5:$D$23,MATCH("Total Equity",'Financials 財務數據'!$B$5:$B$23,0)))</f>
        <v>0.20209805180903448</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26727</v>
      </c>
      <c r="C5" s="18" t="n">
        <v>22189</v>
      </c>
    </row>
    <row r="6">
      <c r="A6" s="4" t="inlineStr">
        <is>
          <t>Gross Profit</t>
        </is>
      </c>
      <c r="B6" s="18" t="n">
        <v>15776</v>
      </c>
      <c r="C6" s="18" t="n">
        <v>8434</v>
      </c>
    </row>
    <row r="7">
      <c r="A7" s="4" t="inlineStr">
        <is>
          <t>Profit Before Tax</t>
        </is>
      </c>
      <c r="B7" s="18" t="n">
        <v>-1917</v>
      </c>
      <c r="C7" s="18" t="n">
        <v>-3225</v>
      </c>
    </row>
    <row r="8">
      <c r="A8" s="4" t="inlineStr">
        <is>
          <t>Profit for the Year</t>
        </is>
      </c>
      <c r="B8" s="18" t="n">
        <v>-2832</v>
      </c>
      <c r="C8" s="18" t="n">
        <v>-3494</v>
      </c>
    </row>
    <row r="9">
      <c r="A9" s="4" t="inlineStr">
        <is>
          <t>Total Equity</t>
        </is>
      </c>
      <c r="B9" s="18" t="n">
        <v>-14013</v>
      </c>
      <c r="C9" s="18" t="n">
        <v>-17110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p.101 (印刷頁 99)</t>
        </is>
      </c>
      <c r="F4" s="11" t="inlineStr">
        <is>
          <t>in use in HKAS 36 Impairment of Assets.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5">
      <c r="A5" s="8" t="inlineStr">
        <is>
          <t>Impairment Testing</t>
        </is>
      </c>
      <c r="B5" s="8" t="inlineStr">
        <is>
          <t>減值測試</t>
        </is>
      </c>
      <c r="C5" s="19" t="inlineStr">
        <is>
          <t>high</t>
        </is>
      </c>
      <c r="D5" s="11" t="inlineStr">
        <is>
          <t>impairment loss</t>
        </is>
      </c>
      <c r="E5" s="11" t="inlineStr">
        <is>
          <t>PDF p.12 (印刷頁 10)</t>
        </is>
      </c>
      <c r="F5" s="11" t="inlineStr">
        <is>
          <t>t of approximately HK$0.2 million for the year ended 31 March 2026, which comprised (i) gain on deregistration of subsidiaries, (ii) impairment loss in respect of goodwill and (iii) sundry income. It represents a significant decrease from approximately HK$6.5 million recorded for the year ended 31 March 2025, which substantially comprised one-off gain on termination of leases of approximately HK$6.4 million. Staff costs The Group’s staff costs, which primarily comprised salaries, wages and allowances, pension costs and other em</t>
        </is>
      </c>
    </row>
    <row r="6">
      <c r="A6" s="8" t="inlineStr">
        <is>
          <t>Impairment Testing</t>
        </is>
      </c>
      <c r="B6" s="8" t="inlineStr">
        <is>
          <t>減值測試</t>
        </is>
      </c>
      <c r="C6" s="19" t="inlineStr">
        <is>
          <t>high</t>
        </is>
      </c>
      <c r="D6" s="11" t="inlineStr">
        <is>
          <t>impairment loss</t>
        </is>
      </c>
      <c r="E6" s="11" t="inlineStr">
        <is>
          <t>PDF p.13 (印刷頁 11)</t>
        </is>
      </c>
      <c r="F6" s="11" t="inlineStr">
        <is>
          <t>dual closure of the Group’s restaurants and cessation of its restaurant operations in Hong Kong during the year ended 31 March 2025. Impairment loss The Group is required to assess its non-financial assets for impairment if events indicate the carrying value of the assets may not be recovered. During the year ended 31 March 2026, the Group conducted impairment assessments to its non-financial assets with impairment indicators and recognised a loss of approximately HK$10,000 non-cash impairment in respect of goodwill on non-fina</t>
        </is>
      </c>
    </row>
    <row r="7">
      <c r="A7" s="8" t="inlineStr">
        <is>
          <t>Impairment Testing</t>
        </is>
      </c>
      <c r="B7" s="8" t="inlineStr">
        <is>
          <t>減值測試</t>
        </is>
      </c>
      <c r="C7" s="19" t="inlineStr">
        <is>
          <t>high</t>
        </is>
      </c>
      <c r="D7" s="11" t="inlineStr">
        <is>
          <t>impairment loss</t>
        </is>
      </c>
      <c r="E7" s="11" t="inlineStr">
        <is>
          <t>PDF p.97 (印刷頁 95)</t>
        </is>
      </c>
      <c r="F7" s="11" t="inlineStr">
        <is>
          <t>8 – (5) Gain on termination of leases 8 – (6,380) Gain on disposal of property, plant and equipment 8 – (30) Finance costs 9 143 438 Impairment loss recognised in respect of goodwill 10 – Allowance for/(reversal of) expected credit losses in respect of deposits and other receivables 25 (99) Allowance for expected credit losses in respect of trade receivables 1,882 – Net gain on deregistration of subsidiaries (238) – Depreciation of property, plant and equipment 16 11 7 Depreciation of right-of-use assets 17 137 86 Operating cas</t>
        </is>
      </c>
    </row>
    <row r="8">
      <c r="A8" s="8" t="inlineStr">
        <is>
          <t>Impairment Testing</t>
        </is>
      </c>
      <c r="B8" s="8" t="inlineStr">
        <is>
          <t>減值測試</t>
        </is>
      </c>
      <c r="C8" s="19" t="inlineStr">
        <is>
          <t>high</t>
        </is>
      </c>
      <c r="D8" s="11" t="inlineStr">
        <is>
          <t>value in use</t>
        </is>
      </c>
      <c r="E8" s="11" t="inlineStr">
        <is>
          <t>PDF p.101 (印刷頁 99)</t>
        </is>
      </c>
      <c r="F8" s="11" t="inlineStr">
        <is>
          <t>measurements that have some similarities to fair value but are not fair value, such as net realisable value in HKAS 2 Inventories or value in use in HKAS 36 Impairment of Assets.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t>
        </is>
      </c>
    </row>
    <row r="9">
      <c r="A9" s="8" t="inlineStr">
        <is>
          <t>Impairment Testing</t>
        </is>
      </c>
      <c r="B9" s="8" t="inlineStr">
        <is>
          <t>減值測試</t>
        </is>
      </c>
      <c r="C9" s="19" t="inlineStr">
        <is>
          <t>high</t>
        </is>
      </c>
      <c r="D9" s="11" t="inlineStr">
        <is>
          <t>recoverable amount</t>
        </is>
      </c>
      <c r="E9" s="11" t="inlineStr">
        <is>
          <t>PDF p.103 (印刷頁 101)</t>
        </is>
      </c>
      <c r="F9" s="11" t="inlineStr">
        <is>
          <t>to operate as a going concern, and adjustments would have to be made to write down the carrying value of the Group’s assets to their recoverable amounts, to provide for any further liabilities which might arise, and to reclassify non-current assets and non-current liabilities as current assets and current liabilities. The effect of these adjustments has not been reflected in the consolidated financial statements. Material accounting policy information Basis of consolidation The consolidated financial statements incorporate the</t>
        </is>
      </c>
    </row>
    <row r="10">
      <c r="A10" s="8" t="inlineStr">
        <is>
          <t>Impairment Testing</t>
        </is>
      </c>
      <c r="B10" s="8" t="inlineStr">
        <is>
          <t>減值測試</t>
        </is>
      </c>
      <c r="C10" s="19" t="inlineStr">
        <is>
          <t>high</t>
        </is>
      </c>
      <c r="D10" s="11" t="inlineStr">
        <is>
          <t>impairment test</t>
        </is>
      </c>
      <c r="E10" s="11" t="inlineStr">
        <is>
          <t>PDF p.106 (印刷頁 104)</t>
        </is>
      </c>
      <c r="F10" s="11" t="inlineStr">
        <is>
          <t>ate of acquisition of the business (see the accounting policy above) less accumulated impairment losses, if any. For the purposes of impairment testing, goodwill is allocated to each of the Group’s cash-generating units (or group of cash-generating units) that is expected to benefit from the synergies of the combination, which represent the lowest level at which the goodwill is monitored for internal management purposes and is not larger than an operating segment. A cash-generating unit (or group of cash-generating units) to wh</t>
        </is>
      </c>
    </row>
    <row r="11">
      <c r="A11" s="8" t="inlineStr">
        <is>
          <t>Impairment Testing</t>
        </is>
      </c>
      <c r="B11" s="8" t="inlineStr">
        <is>
          <t>減值測試</t>
        </is>
      </c>
      <c r="C11" s="19" t="inlineStr">
        <is>
          <t>high</t>
        </is>
      </c>
      <c r="D11" s="11" t="inlineStr">
        <is>
          <t>impairment loss</t>
        </is>
      </c>
      <c r="E11" s="11" t="inlineStr">
        <is>
          <t>PDF p.107 (印刷頁 105)</t>
        </is>
      </c>
      <c r="F11" s="11" t="inlineStr">
        <is>
          <t>ted in the consolidated statement of financial position at cost, less subsequent accumulated depreciation and subsequent accumulated impairment losses, if any. The cost of an asset comprises its purchase price and any directly attributable costs of bringing the asset to its working condition and location for its intended use. Expenditure incurred after the property, plant and equipment have been put into operation, such as repair and maintenance, is normally charged to profit or loss in the period in which it is incurred. In si</t>
        </is>
      </c>
    </row>
    <row r="12">
      <c r="A12" s="8" t="inlineStr">
        <is>
          <t>Impairment Testing</t>
        </is>
      </c>
      <c r="B12" s="8" t="inlineStr">
        <is>
          <t>減值測試</t>
        </is>
      </c>
      <c r="C12" s="19" t="inlineStr">
        <is>
          <t>high</t>
        </is>
      </c>
      <c r="D12" s="11" t="inlineStr">
        <is>
          <t>impairment loss</t>
        </is>
      </c>
      <c r="E12" s="11" t="inlineStr">
        <is>
          <t>PDF p.108 (印刷頁 106)</t>
        </is>
      </c>
      <c r="F12" s="11" t="inlineStr">
        <is>
          <t>e assets with finite useful lives that are acquired separately are carried at cost less accumulated amortisation and any accumulated impairment losses. Amortisation is recognised on a straight-line basis over their estimated useful lives. The estimated useful life and amortisation method are reviewed at the end of each reporting period, with the effect of any changes in estimate being accounted for on a prospective basis. Intangible assets acquired in a business combination Intangible assets acquired in a business combination a</t>
        </is>
      </c>
    </row>
    <row r="13">
      <c r="A13" s="8" t="inlineStr">
        <is>
          <t>Impairment Testing</t>
        </is>
      </c>
      <c r="B13" s="8" t="inlineStr">
        <is>
          <t>減值測試</t>
        </is>
      </c>
      <c r="C13" s="19" t="inlineStr">
        <is>
          <t>high</t>
        </is>
      </c>
      <c r="D13" s="11" t="inlineStr">
        <is>
          <t>impairment loss</t>
        </is>
      </c>
      <c r="E13" s="11" t="inlineStr">
        <is>
          <t>PDF p.109 (印刷頁 107)</t>
        </is>
      </c>
      <c r="F13" s="11" t="inlineStr">
        <is>
          <t>located to that group of cash-generating units, with the recoverable amount of the group of cash-generating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t>
        </is>
      </c>
    </row>
    <row r="14">
      <c r="A14" s="8" t="inlineStr">
        <is>
          <t>Impairment Testing</t>
        </is>
      </c>
      <c r="B14" s="8" t="inlineStr">
        <is>
          <t>減值測試</t>
        </is>
      </c>
      <c r="C14" s="19" t="inlineStr">
        <is>
          <t>high</t>
        </is>
      </c>
      <c r="D14" s="11" t="inlineStr">
        <is>
          <t>recoverable amount</t>
        </is>
      </c>
      <c r="E14" s="11" t="inlineStr">
        <is>
          <t>PDF p.139 (印刷頁 137)</t>
        </is>
      </c>
      <c r="F14" s="11" t="inlineStr">
        <is>
          <t>t has occurred or any indicators that may affect the asset value; (2) whether the carrying value of an asset can be supported by the recoverable amount, in the case of value in use, the net present value of future cash flows which are estimated based upon the continued use of the asset; and (3) the appropriate key assumptions to be applied in estimating the recoverable amounts including cash flow projections and an appropriate discount rate. When it is not possible to estimate the recoverable amount of an individual asset (incl</t>
        </is>
      </c>
    </row>
    <row r="15">
      <c r="A15" s="8" t="inlineStr">
        <is>
          <t>Impairment Testing</t>
        </is>
      </c>
      <c r="B15" s="8" t="inlineStr">
        <is>
          <t>減值測試</t>
        </is>
      </c>
      <c r="C15" s="19" t="inlineStr">
        <is>
          <t>high</t>
        </is>
      </c>
      <c r="D15" s="11" t="inlineStr">
        <is>
          <t>impairment loss</t>
        </is>
      </c>
      <c r="E15" s="11" t="inlineStr">
        <is>
          <t>PDF p.143 (印刷頁 141)</t>
        </is>
      </c>
      <c r="F15" s="11" t="inlineStr">
        <is>
          <t>ermination of leases – 6,380 Gain on disposal of property, plant and equipment – 30 Net gain on deregistration of subsidiaries 238 – Impairment loss recognised in respect of goodwill (10) – Sundry income 15 82 243 6,497 9. FINANCE COSTS 2026 2025 HK$’000 HK$’000 Interest on bank borrowings 126 194 Interest on lease liabilities 17 240 Interest on provision for reinstatement costs – 4 143 438 141</t>
        </is>
      </c>
    </row>
    <row r="16">
      <c r="A16" s="8" t="inlineStr">
        <is>
          <t>Intangible Assets &amp; Goodwill</t>
        </is>
      </c>
      <c r="B16" s="8" t="inlineStr">
        <is>
          <t>無形資產及商譽</t>
        </is>
      </c>
      <c r="C16" s="19" t="inlineStr">
        <is>
          <t>high</t>
        </is>
      </c>
      <c r="D16" s="11" t="inlineStr">
        <is>
          <t>licence</t>
        </is>
      </c>
      <c r="E16" s="11" t="inlineStr">
        <is>
          <t>PDF p.10 (印刷頁 8)</t>
        </is>
      </c>
      <c r="F16" s="11" t="inlineStr">
        <is>
          <t>staurant in around third quarter of 2026, subject to the progress of the relevant preparatory work and the obtaining of the relevant licences, permits and approvals as may be required. For further details, please refer to the announcement of the Company dated 13 March 2026. During the period from April to June 2026, the Group established 6 Chinese baijiu liquor sales outlets in various cities across China, including Nanjing (南京) and Huaian (淮安) in Jiangsu (江蘇), Shanghai, Huzhou (湖州) and Yiwu (義烏) in Zhejiang (浙江), and Zhengzhou</t>
        </is>
      </c>
    </row>
    <row r="17">
      <c r="A17" s="8" t="inlineStr">
        <is>
          <t>Intangible Assets &amp; Goodwill</t>
        </is>
      </c>
      <c r="B17" s="8" t="inlineStr">
        <is>
          <t>無形資產及商譽</t>
        </is>
      </c>
      <c r="C17" s="19" t="inlineStr">
        <is>
          <t>high</t>
        </is>
      </c>
      <c r="D17" s="11" t="inlineStr">
        <is>
          <t>goodwill</t>
        </is>
      </c>
      <c r="E17" s="11" t="inlineStr">
        <is>
          <t>PDF p.12 (印刷頁 10)</t>
        </is>
      </c>
      <c r="F17" s="11" t="inlineStr">
        <is>
          <t>ion for the year ended 31 March 2026, which comprised (i) gain on deregistration of subsidiaries, (ii) impairment loss in respect of goodwill and (iii) sundry income. It represents a significant decrease from approximately HK$6.5 million recorded for the year ended 31 March 2025, which substantially comprised one-off gain on termination of leases of approximately HK$6.4 million. Staff costs The Group’s staff costs, which primarily comprised salaries, wages and allowances, pension costs and other employee benefits, amounted to a</t>
        </is>
      </c>
    </row>
    <row r="18">
      <c r="A18" s="8" t="inlineStr">
        <is>
          <t>Intangible Assets &amp; Goodwill</t>
        </is>
      </c>
      <c r="B18" s="8" t="inlineStr">
        <is>
          <t>無形資產及商譽</t>
        </is>
      </c>
      <c r="C18" s="19" t="inlineStr">
        <is>
          <t>high</t>
        </is>
      </c>
      <c r="D18" s="11" t="inlineStr">
        <is>
          <t>goodwill</t>
        </is>
      </c>
      <c r="E18" s="11" t="inlineStr">
        <is>
          <t>PDF p.13 (印刷頁 11)</t>
        </is>
      </c>
      <c r="F18" s="11" t="inlineStr">
        <is>
          <t>s non-financial assets with impairment indicators and recognised a loss of approximately HK$10,000 non-cash impairment in respect of goodwill on non-financial assets. The breakdown with comparative figures for the previous year is as follows: For the year ended 31 March 2026 2025 HK$’000 HK$’000 Impairment of goodwill 10 – Selling expenses Selling expenses of the Group were stable at HK$0.4 million and HK$0.3 million for the years ended 31 March 2025 and 2026, respectively. Administrative and operating expenses The Group’s admi</t>
        </is>
      </c>
    </row>
    <row r="19">
      <c r="A19" s="8" t="inlineStr">
        <is>
          <t>Intangible Assets &amp; Goodwill</t>
        </is>
      </c>
      <c r="B19" s="8" t="inlineStr">
        <is>
          <t>無形資產及商譽</t>
        </is>
      </c>
      <c r="C19" s="19" t="inlineStr">
        <is>
          <t>high</t>
        </is>
      </c>
      <c r="D19" s="11" t="inlineStr">
        <is>
          <t>licence</t>
        </is>
      </c>
      <c r="E19" s="11" t="inlineStr">
        <is>
          <t>PDF p.45 (印刷頁 43)</t>
        </is>
      </c>
      <c r="F19" s="11" t="inlineStr">
        <is>
          <t>istered users for the initial stage of launch of the Platform. In particular, Zerui Longxiang obtained the Internet Culture Business Licence in January 2025 so that Zerui Longxiang is able to increase its marketing initiatives for products sold through the Platform by employing live streaming marketing strategies and applying AI technologies and digital live streaming technology; * For identification purposes only 43</t>
        </is>
      </c>
    </row>
    <row r="20">
      <c r="A20" s="8" t="inlineStr">
        <is>
          <t>Intangible Assets &amp; Goodwill</t>
        </is>
      </c>
      <c r="B20" s="8" t="inlineStr">
        <is>
          <t>無形資產及商譽</t>
        </is>
      </c>
      <c r="C20" s="19" t="inlineStr">
        <is>
          <t>high</t>
        </is>
      </c>
      <c r="D20" s="11" t="inlineStr">
        <is>
          <t>licence</t>
        </is>
      </c>
      <c r="E20" s="11" t="inlineStr">
        <is>
          <t>PDF p.80 (印刷頁 78)</t>
        </is>
      </c>
      <c r="F20" s="11" t="inlineStr">
        <is>
          <t>lid Business Licenses, Food Production/Operation Licenses, third-party product testing reports, and local Wine Wholesaling/Retailing Licences or registries. For imported products, we require Customs Declaration forms and Import Inspection/Quarantine Certificates. Prioritization is given to business partners holding recognized management system certifications such as ISO 9001, ISO 22000, or HACCP. 78</t>
        </is>
      </c>
    </row>
    <row r="21">
      <c r="A21" s="8" t="inlineStr">
        <is>
          <t>Intangible Assets &amp; Goodwill</t>
        </is>
      </c>
      <c r="B21" s="8" t="inlineStr">
        <is>
          <t>無形資產及商譽</t>
        </is>
      </c>
      <c r="C21" s="19" t="inlineStr">
        <is>
          <t>high</t>
        </is>
      </c>
      <c r="D21" s="11" t="inlineStr">
        <is>
          <t>trademark</t>
        </is>
      </c>
      <c r="E21" s="11" t="inlineStr">
        <is>
          <t>PDF p.84 (印刷頁 82)</t>
        </is>
      </c>
      <c r="F21" s="11" t="inlineStr">
        <is>
          <t>REPORT 2025/26 ENVIRONMENTAL, SOCIAL &amp; GOVERNANCE REPORT Protection of Intellectual Property As of 31 March 2026, the Group owned 11 trademarks in Hong Kong and 1 trademark in the PRC. The Group’s senior management is fully aware that intellectual property rights are material to business. During the Reporting Period, the Group was not aware of any third-party infringement on its trademarks and has fully complied with all relevant laws and regulations in Mainland China and Hong Kong, including the Trade Marks Ordinance and Perso</t>
        </is>
      </c>
    </row>
    <row r="22">
      <c r="A22" s="8" t="inlineStr">
        <is>
          <t>Intangible Assets &amp; Goodwill</t>
        </is>
      </c>
      <c r="B22" s="8" t="inlineStr">
        <is>
          <t>無形資產及商譽</t>
        </is>
      </c>
      <c r="C22" s="19" t="inlineStr">
        <is>
          <t>high</t>
        </is>
      </c>
      <c r="D22" s="11" t="inlineStr">
        <is>
          <t>intangible asset</t>
        </is>
      </c>
      <c r="E22" s="11" t="inlineStr">
        <is>
          <t>PDF p.94 (印刷頁 92)</t>
        </is>
      </c>
      <c r="F22" s="11" t="inlineStr">
        <is>
          <t>March 2026 2026 2025 Notes HK$’000 HK$’000 Non-current assets Property, plant and equipment 16 42 50 Right-of-use assets 17 178 302 Intangible assets 18 – – Rental deposits and prepayments 21 – 12 220 364 Current assets Inventories 19 31 198 Trade receivables 20 31,966 15,288 Deposits, prepayments and other receivables 21 543 337 Amounts due from related companies 25 64 – Prepaid tax – 4 Cash and cash equivalents 22 9,353 300 41,957 16,127 Current liabilities Trade payables 23 14,902 2,782 Accruals and other payables 24 17,061</t>
        </is>
      </c>
    </row>
    <row r="23">
      <c r="A23" s="8" t="inlineStr">
        <is>
          <t>Intangible Assets &amp; Goodwill</t>
        </is>
      </c>
      <c r="B23" s="8" t="inlineStr">
        <is>
          <t>無形資產及商譽</t>
        </is>
      </c>
      <c r="C23" s="19" t="inlineStr">
        <is>
          <t>high</t>
        </is>
      </c>
      <c r="D23" s="11" t="inlineStr">
        <is>
          <t>goodwill</t>
        </is>
      </c>
      <c r="E23" s="11" t="inlineStr">
        <is>
          <t>PDF p.97 (印刷頁 95)</t>
        </is>
      </c>
      <c r="F23" s="11" t="inlineStr">
        <is>
          <t>(6,380) Gain on disposal of property, plant and equipment 8 – (30) Finance costs 9 143 438 Impairment loss recognised in respect of goodwill 10 – Allowance for/(reversal of) expected credit losses in respect of deposits and other receivables 25 (99) Allowance for expected credit losses in respect of trade receivables 1,882 – Net gain on deregistration of subsidiaries (238) – Depreciation of property, plant and equipment 16 11 7 Depreciation of right-of-use assets 17 137 86 Operating cash flows before movements in working capit</t>
        </is>
      </c>
    </row>
    <row r="24">
      <c r="A24" s="8" t="inlineStr">
        <is>
          <t>Intangible Assets &amp; Goodwill</t>
        </is>
      </c>
      <c r="B24" s="8" t="inlineStr">
        <is>
          <t>無形資產及商譽</t>
        </is>
      </c>
      <c r="C24" s="19" t="inlineStr">
        <is>
          <t>high</t>
        </is>
      </c>
      <c r="D24" s="11" t="inlineStr">
        <is>
          <t>goodwill</t>
        </is>
      </c>
      <c r="E24" s="11" t="inlineStr">
        <is>
          <t>PDF p.104 (印刷頁 102)</t>
        </is>
      </c>
      <c r="F24" s="11" t="inlineStr">
        <is>
          <t>alue of the consideration received and the fair value of any retained interest and (ii) the carrying amount of the assets (including goodwill), and liabilities of the subsidiary attributable to the owners of the Company. All amounts previously recognised in other comprehensive income in relation to that subsidiary are accounted for as if the Group had directly disposed of the related assets or liabilities of the subsidiary (i.e. reclassified to profit or loss or transferred to another category of equity as specified/permitted b</t>
        </is>
      </c>
    </row>
    <row r="25">
      <c r="A25" s="8" t="inlineStr">
        <is>
          <t>Intangible Assets &amp; Goodwill</t>
        </is>
      </c>
      <c r="B25" s="8" t="inlineStr">
        <is>
          <t>無形資產及商譽</t>
        </is>
      </c>
      <c r="C25" s="19" t="inlineStr">
        <is>
          <t>high</t>
        </is>
      </c>
      <c r="D25" s="11" t="inlineStr">
        <is>
          <t>goodwill</t>
        </is>
      </c>
      <c r="E25" s="11" t="inlineStr">
        <is>
          <t>PDF p.106 (印刷頁 104)</t>
        </is>
      </c>
      <c r="F25" s="11" t="inlineStr">
        <is>
          <t>OF CONSOLIDATED FINANCIAL STATEMENTS (Continued) Material accounting policy information (Continued) Business combination (Continued) Goodwill is measured as the excess of the sum of the consideration transferred, the amount of any non-controlling interests in the acquiree, and the fair value of the acquirer’s previously held equity interest in the acquiree (if any) over the net of the acquisition-date amounts of the identifiable assets acquired and the liabilities assumed. If, after reassessment, the net of the acquisition-date</t>
        </is>
      </c>
    </row>
    <row r="26">
      <c r="A26" s="8" t="inlineStr">
        <is>
          <t>Intangible Assets &amp; Goodwill</t>
        </is>
      </c>
      <c r="B26" s="8" t="inlineStr">
        <is>
          <t>無形資產及商譽</t>
        </is>
      </c>
      <c r="C26" s="19" t="inlineStr">
        <is>
          <t>high</t>
        </is>
      </c>
      <c r="D26" s="11" t="inlineStr">
        <is>
          <t>intangible asset</t>
        </is>
      </c>
      <c r="E26" s="11" t="inlineStr">
        <is>
          <t>PDF p.108 (印刷頁 106)</t>
        </is>
      </c>
      <c r="F26" s="11" t="inlineStr">
        <is>
          <t>rch 2026 3. BASIS OF PREPARATION OF CONSOLIDATED FINANCIAL STATEMENTS (Continued) Material accounting policy information (Continued) Intangible assets Intangible assets acquired separately Intangible assets with finite useful lives that are acquired separately are carried at cost less accumulated amortisation and any accumulated impairment losses. Amortisation is recognised on a straight-line basis over their estimated useful lives. The estimated useful life and amortisation method are reviewed at the end of each reporting peri</t>
        </is>
      </c>
    </row>
    <row r="27">
      <c r="A27" s="8" t="inlineStr">
        <is>
          <t>Intangible Assets &amp; Goodwill</t>
        </is>
      </c>
      <c r="B27" s="8" t="inlineStr">
        <is>
          <t>無形資產及商譽</t>
        </is>
      </c>
      <c r="C27" s="19" t="inlineStr">
        <is>
          <t>high</t>
        </is>
      </c>
      <c r="D27" s="11" t="inlineStr">
        <is>
          <t>intangible asset</t>
        </is>
      </c>
      <c r="E27" s="11" t="inlineStr">
        <is>
          <t>PDF p.109 (印刷頁 107)</t>
        </is>
      </c>
      <c r="F27" s="11" t="inlineStr">
        <is>
          <t>(Continued) Material accounting policy information (Continued) Impairment on property, plant and equipment, right-of-use assets and intangible assets (Continued) In testing a cash-generating unit for impairment, corporate assets are allocated to the relevant cashgenerating unit when a reasonable and consistent basis of allocation can be established, or otherwise they are allocated to the smallest group of cash generating units for which a reasonable and consistent allocation basis can be established. The recoverable amount i</t>
        </is>
      </c>
    </row>
    <row r="28">
      <c r="A28" s="8" t="inlineStr">
        <is>
          <t>Intangible Assets &amp; Goodwill</t>
        </is>
      </c>
      <c r="B28" s="8" t="inlineStr">
        <is>
          <t>無形資產及商譽</t>
        </is>
      </c>
      <c r="C28" s="19" t="inlineStr">
        <is>
          <t>high</t>
        </is>
      </c>
      <c r="D28" s="11" t="inlineStr">
        <is>
          <t>useful life</t>
        </is>
      </c>
      <c r="E28" s="11" t="inlineStr">
        <is>
          <t>PDF p.122 (印刷頁 120)</t>
        </is>
      </c>
      <c r="F28"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The Group presents right-of-use assets that as a separate line item on the consolidated statement of financial position. Refundable rental deposits Refundable rental deposits paid are accounted under HKFRS 9 and initially measured at fair value. Adj</t>
        </is>
      </c>
    </row>
    <row r="29">
      <c r="A29" s="8" t="inlineStr">
        <is>
          <t>Intangible Assets &amp; Goodwill</t>
        </is>
      </c>
      <c r="B29" s="8" t="inlineStr">
        <is>
          <t>無形資產及商譽</t>
        </is>
      </c>
      <c r="C29" s="19" t="inlineStr">
        <is>
          <t>high</t>
        </is>
      </c>
      <c r="D29" s="11" t="inlineStr">
        <is>
          <t>intangible asset</t>
        </is>
      </c>
      <c r="E29" s="11" t="inlineStr">
        <is>
          <t>PDF p.139 (印刷頁 137)</t>
        </is>
      </c>
      <c r="F29" s="11" t="inlineStr">
        <is>
          <t>otes 4, 20, 21 and 22 to the consolidated financial statements. Impairment of property, plant and equipment, right-of-use assets and intangible assets Property, plant and equipment, right-of-use assets and intangible assets are stated at costs less accumulated depreciation and impairment, if any. In determining whether an asset is impaired, the Group has to exercise judgment and make estimation, particularly in assessing: (1) whether an event has occurred or any indicators that may affect the asset value; (2) whether the carryi</t>
        </is>
      </c>
    </row>
    <row r="30">
      <c r="A30" s="8" t="inlineStr">
        <is>
          <t>Intangible Assets &amp; Goodwill</t>
        </is>
      </c>
      <c r="B30" s="8" t="inlineStr">
        <is>
          <t>無形資產及商譽</t>
        </is>
      </c>
      <c r="C30" s="19" t="inlineStr">
        <is>
          <t>high</t>
        </is>
      </c>
      <c r="D30" s="11" t="inlineStr">
        <is>
          <t>intangible asset</t>
        </is>
      </c>
      <c r="E30" s="11" t="inlineStr">
        <is>
          <t>PDF p.141 (印刷頁 139)</t>
        </is>
      </c>
      <c r="F30" s="11" t="inlineStr">
        <is>
          <t>eceivables and deposits (100) – – 1 – (99) Note: Non-current assets included property, plant and equipments, right-of-use assets and intangible assets. The CODM makes decisions according to operating results of each segment. The Group does not monitor the measurement of total assets and liabilities by each reportable segment due to the nature of the Group’s operations. Therefore, only segment revenue and segment results are presented. 139</t>
        </is>
      </c>
    </row>
    <row r="31">
      <c r="A31" s="8" t="inlineStr">
        <is>
          <t>Intangible Assets &amp; Goodwill</t>
        </is>
      </c>
      <c r="B31" s="8" t="inlineStr">
        <is>
          <t>無形資產及商譽</t>
        </is>
      </c>
      <c r="C31" s="19" t="inlineStr">
        <is>
          <t>high</t>
        </is>
      </c>
      <c r="D31" s="11" t="inlineStr">
        <is>
          <t>goodwill</t>
        </is>
      </c>
      <c r="E31" s="11" t="inlineStr">
        <is>
          <t>PDF p.143 (印刷頁 141)</t>
        </is>
      </c>
      <c r="F31" s="11" t="inlineStr">
        <is>
          <t>osal of property, plant and equipment – 30 Net gain on deregistration of subsidiaries 238 – Impairment loss recognised in respect of goodwill (10) – Sundry income 15 82 243 6,497 9. FINANCE COSTS 2026 2025 HK$’000 HK$’000 Interest on bank borrowings 126 194 Interest on lease liabilities 17 240 Interest on provision for reinstatement costs – 4 143 438 141</t>
        </is>
      </c>
    </row>
    <row r="32">
      <c r="A32" s="8" t="inlineStr">
        <is>
          <t>Intangible Assets &amp; Goodwill</t>
        </is>
      </c>
      <c r="B32" s="8" t="inlineStr">
        <is>
          <t>無形資產及商譽</t>
        </is>
      </c>
      <c r="C32" s="19" t="inlineStr">
        <is>
          <t>high</t>
        </is>
      </c>
      <c r="D32" s="11" t="inlineStr">
        <is>
          <t>intangible asset</t>
        </is>
      </c>
      <c r="E32" s="11" t="inlineStr">
        <is>
          <t>PDF p.153 (印刷頁 151)</t>
        </is>
      </c>
      <c r="F32" s="11" t="inlineStr">
        <is>
          <t>ty interests in the leased assets that are held by the lessor. Leased assets may not be used as security for borrowing purposes. 18. INTANGIBLE ASSETS Franchise agreements HK$’000 Cost At 1 April 2024, 31 March 2025 and 1 April 2025 10,600 Written off (10,600) At 31 March 2026 – Accumulated amortisation and impairment At 1 April 2024, 31 March 2025 and 1 April 2025 10,600 Written off (10,600) At 31 March 2026 – Carrying amount At 31 March 2026 – At 31 March 2025 – The intangible assets are amortised on a straight-line basis ove</t>
        </is>
      </c>
    </row>
    <row r="33">
      <c r="A33" s="8" t="inlineStr">
        <is>
          <t>Investment Properties</t>
        </is>
      </c>
      <c r="B33" s="8" t="inlineStr">
        <is>
          <t>投資物業</t>
        </is>
      </c>
      <c r="C33" s="19" t="inlineStr">
        <is>
          <t>high</t>
        </is>
      </c>
      <c r="D33" s="11" t="inlineStr">
        <is>
          <t>market rent</t>
        </is>
      </c>
      <c r="E33" s="11" t="inlineStr">
        <is>
          <t>PDF p.123 (印刷頁 121)</t>
        </is>
      </c>
      <c r="F33" s="11" t="inlineStr">
        <is>
          <t>the revised lease payments using a revised discount rate at the date of reassessment. • the lease payments change due to changes in market rental rates following a market rent review/expected payment under a guaranteed residual value, in which cases the related lease liability is remeasured by discounting the revised lease payments using the initial discount rate. • a lease contract is modified and the lease modification is not accounted for as a separate lease (see below for the accounting policy for “lease modifications”). T</t>
        </is>
      </c>
    </row>
    <row r="34">
      <c r="A34" s="8" t="inlineStr">
        <is>
          <t>ESG Data</t>
        </is>
      </c>
      <c r="B34" s="8" t="inlineStr">
        <is>
          <t>環境社會及管治數據</t>
        </is>
      </c>
      <c r="C34" s="8" t="inlineStr">
        <is>
          <t>medium</t>
        </is>
      </c>
      <c r="D34" s="11" t="inlineStr">
        <is>
          <t>ESG</t>
        </is>
      </c>
      <c r="E34" s="11" t="inlineStr">
        <is>
          <t>PDF p.39 (印刷頁 37)</t>
        </is>
      </c>
      <c r="F34" s="11" t="inlineStr">
        <is>
          <t>red Certified Accountants in July 2020, a member of the Chartered Institute of Management Accountants in August 2023 and a member of ESG Certified Professional (ESGCP®) by The Chamber of Hong Kong Listed Companies in December 2024. Mr. Ng is currently a practicing certified public accountant in Hong Kong. 37</t>
        </is>
      </c>
    </row>
    <row r="35">
      <c r="A35" s="8" t="inlineStr">
        <is>
          <t>ESG Data</t>
        </is>
      </c>
      <c r="B35" s="8" t="inlineStr">
        <is>
          <t>環境社會及管治數據</t>
        </is>
      </c>
      <c r="C35" s="8" t="inlineStr">
        <is>
          <t>medium</t>
        </is>
      </c>
      <c r="D35" s="11" t="inlineStr">
        <is>
          <t>ESG</t>
        </is>
      </c>
      <c r="E35" s="11" t="inlineStr">
        <is>
          <t>PDF p.60 (印刷頁 58)</t>
        </is>
      </c>
      <c r="F35" s="11" t="inlineStr">
        <is>
          <t>strictest corporate governance. In pursuant to the requirements defined in the Environmental, Social and Governance Reporting Code (“ESG Code”) in Appendix C2 to the GEM Listing Rules published by The Stock Exchange of Hong Kong Limited, the Group has prepared this 2025–2026 Environmental, Social and Governance (thereafter “ESG”) report, disclosing its efforts in managing its ESG impacts from its principal operation activities. This ESG report covers two subject areas, namely environmental and social. Corporate Governance Repor</t>
        </is>
      </c>
    </row>
    <row r="36">
      <c r="A36" s="8" t="inlineStr">
        <is>
          <t>ESG Data</t>
        </is>
      </c>
      <c r="B36" s="8" t="inlineStr">
        <is>
          <t>環境社會及管治數據</t>
        </is>
      </c>
      <c r="C36" s="8" t="inlineStr">
        <is>
          <t>medium</t>
        </is>
      </c>
      <c r="D36" s="11" t="inlineStr">
        <is>
          <t>ESG</t>
        </is>
      </c>
      <c r="E36" s="11" t="inlineStr">
        <is>
          <t>PDF p.61 (印刷頁 59)</t>
        </is>
      </c>
      <c r="F36" s="11" t="inlineStr">
        <is>
          <t>N MI FANG GROUP HOLDINGS LIMITED • ANNUAL REPORT 2025/26 ENVIRONMENTAL, SOCIAL &amp; GOVERNANCE REPORT SCOPE OF REPORT The scope of this ESG report covers the Group’s initiatives on introducing the concept of ESG to its internal and external stakeholders, implementation of sustainable practices throughout the Group’s daily operations and disclosing results as a year-end summary. It is also the intention of the management to provide an overview of the Group’s direction in managing ESG related issues, driving for ESG initiatives thro</t>
        </is>
      </c>
    </row>
    <row r="37">
      <c r="A37" s="8" t="inlineStr">
        <is>
          <t>ESG Data</t>
        </is>
      </c>
      <c r="B37" s="8" t="inlineStr">
        <is>
          <t>環境社會及管治數據</t>
        </is>
      </c>
      <c r="C37" s="8" t="inlineStr">
        <is>
          <t>medium</t>
        </is>
      </c>
      <c r="D37" s="11" t="inlineStr">
        <is>
          <t>ESG</t>
        </is>
      </c>
      <c r="E37" s="11" t="inlineStr">
        <is>
          <t>PDF p.62 (印刷頁 60)</t>
        </is>
      </c>
      <c r="F37" s="11" t="inlineStr">
        <is>
          <t>nations Table 1. Engaged stakeholder list and methods MATERIALITY ASSESSMENT The Group performed a materiality assessment of various ESG topics to identify and evaluate the concerns and interests of the Group’s internal and external stakeholders. The findings of the assessment are presented in a materiality matrix, as shown below: 60</t>
        </is>
      </c>
    </row>
    <row r="38">
      <c r="A38" s="8" t="inlineStr">
        <is>
          <t>ESG Data</t>
        </is>
      </c>
      <c r="B38" s="8" t="inlineStr">
        <is>
          <t>環境社會及管治數據</t>
        </is>
      </c>
      <c r="C38" s="8" t="inlineStr">
        <is>
          <t>medium</t>
        </is>
      </c>
      <c r="D38" s="11" t="inlineStr">
        <is>
          <t>greenhouse gas</t>
        </is>
      </c>
      <c r="E38" s="11" t="inlineStr">
        <is>
          <t>PDF p.63 (印刷頁 61)</t>
        </is>
      </c>
      <c r="F38" s="11" t="inlineStr">
        <is>
          <t>t O2 Anti-Corruption S2 Community Relations E3 Environmental Compliance O3 Anti-discrimination S3 Diversity and Equal Opportunity E4 Greenhouse Gases O4 Company profitability S4 Employee communication Management E5 Raw Materials Management O5 Customer Satisfaction S5 Human Right Protection E6 Waste Management O6 Data Security and Customer S6 Social and Economic Privacy Management Compliance E7 Wastewater Management O7 Generation of Economic S7 Talent Management Value O8 Innovation and Intellectual S8 Training and Development Pr</t>
        </is>
      </c>
    </row>
    <row r="39">
      <c r="A39" s="8" t="inlineStr">
        <is>
          <t>ESG Data</t>
        </is>
      </c>
      <c r="B39" s="8" t="inlineStr">
        <is>
          <t>環境社會及管治數據</t>
        </is>
      </c>
      <c r="C39" s="8" t="inlineStr">
        <is>
          <t>medium</t>
        </is>
      </c>
      <c r="D39" s="11" t="inlineStr">
        <is>
          <t>ESG</t>
        </is>
      </c>
      <c r="E39" s="11" t="inlineStr">
        <is>
          <t>PDF p.64 (印刷頁 62)</t>
        </is>
      </c>
      <c r="F39" s="11" t="inlineStr">
        <is>
          <t>vestments to investors, business partners and supporters; and (iii) Maintain sustainable development to the society and environment. ESG Management Structure The Group’s ESG management has been structured to ensure the fulfilment of its corporate goals and visions to bring benefits to all stakeholders, and to support and serve the society and the environment with responsibilities and sustainable development. The Board, headed by the Chairman and having a balance of skill and experience from the Executive and Non-Executive Direc</t>
        </is>
      </c>
    </row>
    <row r="40">
      <c r="A40" s="8" t="inlineStr">
        <is>
          <t>ESG Data</t>
        </is>
      </c>
      <c r="B40" s="8" t="inlineStr">
        <is>
          <t>環境社會及管治數據</t>
        </is>
      </c>
      <c r="C40" s="8" t="inlineStr">
        <is>
          <t>medium</t>
        </is>
      </c>
      <c r="D40" s="11" t="inlineStr">
        <is>
          <t>carbon</t>
        </is>
      </c>
      <c r="E40" s="11" t="inlineStr">
        <is>
          <t>PDF p.65 (印刷頁 63)</t>
        </is>
      </c>
      <c r="F40" s="11" t="inlineStr">
        <is>
          <t>are its most significant environmental issues. In addition, the analysis also shows that the Group has minor impact towards air and carbon emissions, which are issues that the Group will devote resources to monitor its performances. The Group’s management has delegated specific efforts in managing the identified environmental issues, as detailed in subsequent sections of this report. The Group also understands the importance of maintaining sustainable business growth and strives to provide a positive environmental and social i</t>
        </is>
      </c>
    </row>
    <row r="41">
      <c r="A41" s="8" t="inlineStr">
        <is>
          <t>ESG Data</t>
        </is>
      </c>
      <c r="B41" s="8" t="inlineStr">
        <is>
          <t>環境社會及管治數據</t>
        </is>
      </c>
      <c r="C41" s="8" t="inlineStr">
        <is>
          <t>medium</t>
        </is>
      </c>
      <c r="D41" s="11" t="inlineStr">
        <is>
          <t>energy consumption</t>
        </is>
      </c>
      <c r="E41" s="11" t="inlineStr">
        <is>
          <t>PDF p.66 (印刷頁 64)</t>
        </is>
      </c>
      <c r="F41" s="11" t="inlineStr">
        <is>
          <t>ouse &amp; Office Energy Use: We divisionally control warehouse lighting, utilize smart electricity meters to track usage, and establish energy consumption targets. • Refrigeration &amp; Cooling: For temperature-controlled storage essential to our wine quality, we selectively purchase energy-efficient cooling systems, conduct routine airtightness checks on refrigeration units, and strictly use eco-friendly refrigerants to prevent leaks. • Packaging Materials: We promote packaging reduction schemes, prioritize the procurement of biodegr</t>
        </is>
      </c>
    </row>
    <row r="42">
      <c r="A42" s="8" t="inlineStr">
        <is>
          <t>ESG Data</t>
        </is>
      </c>
      <c r="B42" s="8" t="inlineStr">
        <is>
          <t>環境社會及管治數據</t>
        </is>
      </c>
      <c r="C42" s="8" t="inlineStr">
        <is>
          <t>medium</t>
        </is>
      </c>
      <c r="D42" s="11" t="inlineStr">
        <is>
          <t>greenhouse gas</t>
        </is>
      </c>
      <c r="E42" s="11" t="inlineStr">
        <is>
          <t>PDF p.67 (印刷頁 65)</t>
        </is>
      </c>
      <c r="F42" s="11" t="inlineStr">
        <is>
          <t>ll relevant laws and regulations. Further information shall also be disclosed in future ESG reports of the Company as changes occur. Greenhouse Gas Emissions In addition to the efforts made in monitoring air emissions as mentioned in the above section, the Group performed careful assessment on its overall greenhouse gas emissions. As the Group’s operations involve office operations and vehicle usage, greenhouse gas emission by the Group mainly consists of carbon dioxide (CO2), with minor contribution from methane (CH4) and nitr</t>
        </is>
      </c>
    </row>
    <row r="43">
      <c r="A43" s="8" t="inlineStr">
        <is>
          <t>ESG Data</t>
        </is>
      </c>
      <c r="B43" s="8" t="inlineStr">
        <is>
          <t>環境社會及管治數據</t>
        </is>
      </c>
      <c r="C43" s="8" t="inlineStr">
        <is>
          <t>medium</t>
        </is>
      </c>
      <c r="D43" s="11" t="inlineStr">
        <is>
          <t>energy consumption</t>
        </is>
      </c>
      <c r="E43" s="11" t="inlineStr">
        <is>
          <t>PDF p.69 (印刷頁 67)</t>
        </is>
      </c>
      <c r="F43" s="11" t="inlineStr">
        <is>
          <t>n” culture, the Group actively promotes the concept of smart usage of energy in all operating premises. Electricity is a significant energy consumption by the Group. To ensure efficient energy consumption at the Group’s facilities, employees are regularly guided on efficient consumption of energy. The Group also invested into energy-saving technologies, such as LED lighting system in our premises. In addition, notices on energy-saving are issued to our staff to raise awareness on energy conservation. Other initiatives implement</t>
        </is>
      </c>
    </row>
    <row r="44">
      <c r="A44" s="8" t="inlineStr">
        <is>
          <t>ESG Data</t>
        </is>
      </c>
      <c r="B44" s="8" t="inlineStr">
        <is>
          <t>環境社會及管治數據</t>
        </is>
      </c>
      <c r="C44" s="8" t="inlineStr">
        <is>
          <t>medium</t>
        </is>
      </c>
      <c r="D44" s="11" t="inlineStr">
        <is>
          <t>GHG emission</t>
        </is>
      </c>
      <c r="E44" s="11" t="inlineStr">
        <is>
          <t>PDF p.71 (印刷頁 69)</t>
        </is>
      </c>
      <c r="F44" s="11" t="inlineStr">
        <is>
          <t>ENVIRONMENTAL, SOCIAL &amp; GOVERNANCE REPORT Aspect Target Reduce Paper Consumption –3% paper consumption intensity/revenue in 5 years GHG Emissions –3% GHG emission intensity/revenue in 5 years Air Emissions –1% air emissions intensity/revenue in 5 years Water Consumption –1% water emissions intensity/revenue in 5 years Waste Management –3% non-hazardous waste/revenue in 5 years Energy Consumption –3% energy consumption intensity/revenue in 5 years Table 2. Group Environmental Targets With the temporary suspension of the Group’s</t>
        </is>
      </c>
    </row>
    <row r="45">
      <c r="A45" s="8" t="inlineStr">
        <is>
          <t>ESG Data</t>
        </is>
      </c>
      <c r="B45" s="8" t="inlineStr">
        <is>
          <t>環境社會及管治數據</t>
        </is>
      </c>
      <c r="C45" s="8" t="inlineStr">
        <is>
          <t>medium</t>
        </is>
      </c>
      <c r="D45" s="11" t="inlineStr">
        <is>
          <t>greenhouse gas</t>
        </is>
      </c>
      <c r="E45" s="11" t="inlineStr">
        <is>
          <t>PDF p.72 (印刷頁 70)</t>
        </is>
      </c>
      <c r="F45" s="11" t="inlineStr">
        <is>
          <t>) 0 (0) Electricity Consumption GJ (kWh) 997 (276,969) 25 (6,900) Total Energy Consumption Intensity GJ/ 0.07 0.008 1000 HKD revenue Greenhouse Gas Emissions Total Greenhouse Gas (GHG) Emissions t CO2e 201 39 Scope 1 — Direct Emissions t CO2e 53 26 Carbon Dioxide (CO2) Emissions t 52 11 Methane (CH4) Emissions kg 0.677 1.2 Nitrous Oxide (N2O) Emissions kg 3.934 5.1 Scope 2 — Energy Indirect Emissions1 t CO2e 136 3.7 Scope 3 — Other Indirect Emissions t CO2e 12.2 9.1 P aper Waste Disposed At Landfills t CO2e 7.0 4.0 Fresh Water</t>
        </is>
      </c>
    </row>
    <row r="46">
      <c r="A46" s="8" t="inlineStr">
        <is>
          <t>ESG Data</t>
        </is>
      </c>
      <c r="B46" s="8" t="inlineStr">
        <is>
          <t>環境社會及管治數據</t>
        </is>
      </c>
      <c r="C46" s="8" t="inlineStr">
        <is>
          <t>medium</t>
        </is>
      </c>
      <c r="D46" s="11" t="inlineStr">
        <is>
          <t>greenhouse gas</t>
        </is>
      </c>
      <c r="E46" s="11" t="inlineStr">
        <is>
          <t>PDF p.73 (印刷頁 71)</t>
        </is>
      </c>
      <c r="F46" s="11" t="inlineStr">
        <is>
          <t>g Consumption Intensity kg/ 1.10 3.7 1000 HKD revenue Table 3. Environmental Performance Summary Table Note 1: The Group reports its greenhouse gas emissions using the location-based method. During the Reporting Period, we did not purchase or use any market instruments, such as renewable energy certificates or carbon offsets. Note 2: Waste and packaging material usage associated with our wine business were separately reported due to different measurement basis. Due to discontinuation of the Group’s restaurant business, associat</t>
        </is>
      </c>
    </row>
    <row r="47">
      <c r="A47" s="8" t="inlineStr">
        <is>
          <t>ESG Data</t>
        </is>
      </c>
      <c r="B47" s="8" t="inlineStr">
        <is>
          <t>環境社會及管治數據</t>
        </is>
      </c>
      <c r="C47" s="8" t="inlineStr">
        <is>
          <t>medium</t>
        </is>
      </c>
      <c r="D47" s="11" t="inlineStr">
        <is>
          <t>sustainability</t>
        </is>
      </c>
      <c r="E47" s="11" t="inlineStr">
        <is>
          <t>PDF p.74 (印刷頁 72)</t>
        </is>
      </c>
      <c r="F47" s="11" t="inlineStr">
        <is>
          <t>ted by the Group are elaborated in following sections. Employees Since a motivated and balanced workforce is crucial to the success, sustainability and continued growth of the Group’s business, the Group is dedicated to offer a safe, equal and healthy working environment for all of its employees. During the Reporting Period, the Group was in full compliance with all the applicable laws and regulations towards employment arrangements, and it is also committed to foster diversity and provide equal opportunities on recruitment, pr</t>
        </is>
      </c>
    </row>
    <row r="48">
      <c r="A48" s="8" t="inlineStr">
        <is>
          <t>ESG Data</t>
        </is>
      </c>
      <c r="B48" s="8" t="inlineStr">
        <is>
          <t>環境社會及管治數據</t>
        </is>
      </c>
      <c r="C48" s="8" t="inlineStr">
        <is>
          <t>medium</t>
        </is>
      </c>
      <c r="D48" s="11" t="inlineStr">
        <is>
          <t>ESG</t>
        </is>
      </c>
      <c r="E48" s="11" t="inlineStr">
        <is>
          <t>PDF p.81 (印刷頁 79)</t>
        </is>
      </c>
      <c r="F48" s="11" t="inlineStr">
        <is>
          <t>abor health parameters. To align our value chain with global sustainability standards, the Group has formally integrated a dedicated ESG Assessment Module into our supplier evaluation template. This module reviews suppliers across three key sustainability dimensions: • Environmental: Waste disposal compliance, resource and energy efficiency, and eco-friendly packaging practices. • Social: Fair labor practices, occupational safety systems, and the absolute prohibition of child or forced labor. • Governance: Anti-corruption mecha</t>
        </is>
      </c>
    </row>
    <row r="49">
      <c r="A49" s="8" t="inlineStr">
        <is>
          <t>ESG Data</t>
        </is>
      </c>
      <c r="B49" s="8" t="inlineStr">
        <is>
          <t>環境社會及管治數據</t>
        </is>
      </c>
      <c r="C49" s="8" t="inlineStr">
        <is>
          <t>medium</t>
        </is>
      </c>
      <c r="D49" s="11" t="inlineStr">
        <is>
          <t>sustainability</t>
        </is>
      </c>
      <c r="E49" s="11" t="inlineStr">
        <is>
          <t>PDF p.85 (印刷頁 83)</t>
        </is>
      </c>
      <c r="F49" s="11" t="inlineStr">
        <is>
          <t>ss restructuring and establishing our sales and distribution of food and wine operations in Mainland China, we remained dedicated to sustainability education and community awareness. Moving forward, the Group intends to explore targeted community programs, including partnering with local organizations to promote environmental protection, responsible drinking habits, and agricultural sustainability within our supply chain footprint. 83</t>
        </is>
      </c>
    </row>
    <row r="50">
      <c r="A50" s="8" t="inlineStr">
        <is>
          <t>Segment Information</t>
        </is>
      </c>
      <c r="B50" s="8" t="inlineStr">
        <is>
          <t>分部資料</t>
        </is>
      </c>
      <c r="C50" s="8" t="inlineStr">
        <is>
          <t>medium</t>
        </is>
      </c>
      <c r="D50" s="11" t="inlineStr">
        <is>
          <t>operating segment</t>
        </is>
      </c>
      <c r="E50" s="11" t="inlineStr">
        <is>
          <t>PDF p.106 (印刷頁 104)</t>
        </is>
      </c>
      <c r="F50" s="11" t="inlineStr">
        <is>
          <t>tion, which represent the lowest level at which the goodwill is monitored for internal management purposes and is not larger than an operating segment. A cash-generating unit (or group of cash-generating units) to which goodwill has been allocated is tested for impairment annually or more frequently when there is indication that the unit may be impaired. For goodwill arising on an acquisition in an annual period, the cash-generating unit (or group of cash-generating units) to which goodwill has been allocated is tested for impa</t>
        </is>
      </c>
    </row>
    <row r="51">
      <c r="A51" s="8" t="inlineStr">
        <is>
          <t>Segment Information</t>
        </is>
      </c>
      <c r="B51" s="8" t="inlineStr">
        <is>
          <t>分部資料</t>
        </is>
      </c>
      <c r="C51" s="8" t="inlineStr">
        <is>
          <t>medium</t>
        </is>
      </c>
      <c r="D51" s="11" t="inlineStr">
        <is>
          <t>segment information</t>
        </is>
      </c>
      <c r="E51" s="11" t="inlineStr">
        <is>
          <t>PDF p.140 (印刷頁 138)</t>
        </is>
      </c>
      <c r="F51" s="11" t="inlineStr">
        <is>
          <t>NG GROUP HOLDINGS LIMITED • ANNUAL REPORT 2025/26 NOTES TO THE CONSOLIDATED FINANCIAL STATEMENTS For the year ended 31 March 2026 6. SEGMENT INFORMATION The board of directors is the chief operating decision maker (“CODM”). The Group is principally engaged in provision of catering and related business and sales and distribution of food and wine business. Segment revenues and results The following is an analysis of the Group’s revenue and results by reportable segments: For the year ended 31 March 2026 Sales and Trading of distr</t>
        </is>
      </c>
    </row>
    <row r="52">
      <c r="A52" s="8" t="inlineStr">
        <is>
          <t>Segment Information</t>
        </is>
      </c>
      <c r="B52" s="8" t="inlineStr">
        <is>
          <t>分部資料</t>
        </is>
      </c>
      <c r="C52" s="8" t="inlineStr">
        <is>
          <t>medium</t>
        </is>
      </c>
      <c r="D52" s="11" t="inlineStr">
        <is>
          <t>segment information</t>
        </is>
      </c>
      <c r="E52" s="11" t="inlineStr">
        <is>
          <t>PDF p.141 (印刷頁 139)</t>
        </is>
      </c>
      <c r="F52" s="11" t="inlineStr">
        <is>
          <t>NG GROUP HOLDINGS LIMITED • ANNUAL REPORT 2025/26 NOTES TO THE CONSOLIDATED FINANCIAL STATEMENTS For the year ended 31 March 2026 6. SEGMENT INFORMATION (Continued) Segment revenues and results (Continued) Amounts included in the measure of segment profit or loss: For the year ended 31 March 2026 Sales and Trading of distribution Catering luxury Money of food and related watches lending and wine business business business business Unallocated Total HK$’000 HK$’000 HK$’000 HK$’000 HK$’000 HK$’000 Depreciation – – – 148 – 148 All</t>
        </is>
      </c>
    </row>
    <row r="53">
      <c r="A53" s="8" t="inlineStr">
        <is>
          <t>Segment Information</t>
        </is>
      </c>
      <c r="B53" s="8" t="inlineStr">
        <is>
          <t>分部資料</t>
        </is>
      </c>
      <c r="C53" s="8" t="inlineStr">
        <is>
          <t>medium</t>
        </is>
      </c>
      <c r="D53" s="11" t="inlineStr">
        <is>
          <t>geographical</t>
        </is>
      </c>
      <c r="E53" s="11" t="inlineStr">
        <is>
          <t>PDF p.142 (印刷頁 140)</t>
        </is>
      </c>
      <c r="F53" s="11" t="inlineStr">
        <is>
          <t>5,718 22,189 26,727 2026 2025 HK$’000 HK$’000 Timing of revenue recognition: At a point in time 22,189 26,727 The Group’s revenue by geographical location is as follows: 2026 2025 HK$’000 HK$’000 Hong Kong – 11,009 The PRC 22,189 15,718 22,189 26,727 All revenue contracts are for period of one year or less, as permitted by practical expedient under HKFRS 15, the transaction price allocated to these unsatisfied contracts is not disclosed. 140</t>
        </is>
      </c>
    </row>
    <row r="54">
      <c r="A54" s="8" t="inlineStr">
        <is>
          <t>Share-based Payment</t>
        </is>
      </c>
      <c r="B54" s="8" t="inlineStr">
        <is>
          <t>以股份為基礎的付款</t>
        </is>
      </c>
      <c r="C54" s="8" t="inlineStr">
        <is>
          <t>medium</t>
        </is>
      </c>
      <c r="D54" s="11" t="inlineStr">
        <is>
          <t>share option</t>
        </is>
      </c>
      <c r="E54" s="11" t="inlineStr">
        <is>
          <t>PDF p.19 (印刷頁 17)</t>
        </is>
      </c>
      <c r="F54" s="11" t="inlineStr">
        <is>
          <t>kages to the Directors. The Directors’ remuneration comprises fixed salary or service fee and variable components (such as bonus and share options), which is benchmarked against companies of comparable business or scale with reference to a mix of factors such as the prevailing market condition, the Company’s performance and the qualifications, skills, experience and educational background of the Directors. The emoluments of the Directors have been reviewed by the remuneration committee of the Board annually, having regard to th</t>
        </is>
      </c>
    </row>
    <row r="55">
      <c r="A55" s="8" t="inlineStr">
        <is>
          <t>Share-based Payment</t>
        </is>
      </c>
      <c r="B55" s="8" t="inlineStr">
        <is>
          <t>以股份為基礎的付款</t>
        </is>
      </c>
      <c r="C55" s="8" t="inlineStr">
        <is>
          <t>medium</t>
        </is>
      </c>
      <c r="D55" s="11" t="inlineStr">
        <is>
          <t>share option</t>
        </is>
      </c>
      <c r="E55" s="11" t="inlineStr">
        <is>
          <t>PDF p.31 (印刷頁 29)</t>
        </is>
      </c>
      <c r="F55" s="11" t="inlineStr">
        <is>
          <t>e provision E.1.2(c)(ii) of the CG Code adopted. During the year ended 31 March 2026, there were no material matters relating to the Share Option Scheme which required review or approval by the Remuneration Committee. REMUNERATION OF SENIOR MANAGEMENT BY BAND The remuneration of the members of the senior management by band for the year ended 31 March 2026 is set out below: Number of Members of Annual remuneration by band senior management Nil to HK$1,000,000 – NOMINATION COMMITTEE Our Company established the Nomination Committe</t>
        </is>
      </c>
    </row>
    <row r="56">
      <c r="A56" s="8" t="inlineStr">
        <is>
          <t>Share-based Payment</t>
        </is>
      </c>
      <c r="B56" s="8" t="inlineStr">
        <is>
          <t>以股份為基礎的付款</t>
        </is>
      </c>
      <c r="C56" s="8" t="inlineStr">
        <is>
          <t>medium</t>
        </is>
      </c>
      <c r="D56" s="11" t="inlineStr">
        <is>
          <t>share option</t>
        </is>
      </c>
      <c r="E56" s="11" t="inlineStr">
        <is>
          <t>PDF p.47 (印刷頁 45)</t>
        </is>
      </c>
      <c r="F56" s="11" t="inlineStr">
        <is>
          <t>the Group and the performance of the Group. As incentives or rewards for their contribution to our Group, the Group has adopted the Share Option Scheme (as defined below) and may grant options under the Share Option Scheme (as defined below) to reward its employees, the Directors and other selected participants for their contributions to the Group. 45</t>
        </is>
      </c>
    </row>
    <row r="57">
      <c r="A57" s="8" t="inlineStr">
        <is>
          <t>Share-based Payment</t>
        </is>
      </c>
      <c r="B57" s="8" t="inlineStr">
        <is>
          <t>以股份為基礎的付款</t>
        </is>
      </c>
      <c r="C57" s="8" t="inlineStr">
        <is>
          <t>medium</t>
        </is>
      </c>
      <c r="D57" s="11" t="inlineStr">
        <is>
          <t>share option</t>
        </is>
      </c>
      <c r="E57" s="11" t="inlineStr">
        <is>
          <t>PDF p.48 (印刷頁 46)</t>
        </is>
      </c>
      <c r="F57" s="11" t="inlineStr">
        <is>
          <t>he Group did not participate in any other pension schemes during the year ended 31 March 2026. EQUITY-LINKED AGREEMENTS Save for the Share Option Scheme (as defined below), the Company did not enter into any equity-linked agreement during the year ended 31 March 2026 or subsisted at the end of the year. FINANCIAL SUMMARY A summary of the Group’s results and financial position is set out on page 164 of this annual report. PURCHASE, SALE OR REDEMPTION OF THE COMPANY’S LISTED SECURITIES Neither the Company nor any of its subsidiar</t>
        </is>
      </c>
    </row>
    <row r="58">
      <c r="A58" s="8" t="inlineStr">
        <is>
          <t>Share-based Payment</t>
        </is>
      </c>
      <c r="B58" s="8" t="inlineStr">
        <is>
          <t>以股份為基礎的付款</t>
        </is>
      </c>
      <c r="C58" s="8" t="inlineStr">
        <is>
          <t>medium</t>
        </is>
      </c>
      <c r="D58" s="11" t="inlineStr">
        <is>
          <t>share option</t>
        </is>
      </c>
      <c r="E58" s="11" t="inlineStr">
        <is>
          <t>PDF p.49 (印刷頁 47)</t>
        </is>
      </c>
      <c r="F58" s="11" t="inlineStr">
        <is>
          <t>JIN MI FANG GROUP HOLDINGS LIMITED • ANNUAL REPORT 2025/26 REPORT OF DIRECTORS SHARE OPTION SCHEME The share option scheme (the “Share Option Scheme”) was conditionally adopted by a written resolution of the then sole shareholder passed on 21 July 2016. The key terms of the Share Option Scheme are as follows: 1. Purpose The purpose of the Share Option Scheme is to enable the Group to grant options to selected participants as incentives or rewards for their contribution to th</t>
        </is>
      </c>
    </row>
    <row r="59">
      <c r="A59" s="8" t="inlineStr">
        <is>
          <t>Share-based Payment</t>
        </is>
      </c>
      <c r="B59" s="8" t="inlineStr">
        <is>
          <t>以股份為基礎的付款</t>
        </is>
      </c>
      <c r="C59" s="8" t="inlineStr">
        <is>
          <t>medium</t>
        </is>
      </c>
      <c r="D59" s="11" t="inlineStr">
        <is>
          <t>share option</t>
        </is>
      </c>
      <c r="E59" s="11" t="inlineStr">
        <is>
          <t>PDF p.50 (印刷頁 48)</t>
        </is>
      </c>
      <c r="F59" s="11" t="inlineStr">
        <is>
          <t>er of Shares which may be allotted and issued upon the exercise of all outstanding options granted and yet to be exercised under the Share Option Scheme and any other share option scheme of the Group shall not exceed 30% of the issued share capital of the Company from time to time. (ii) The total number of Shares which may be issued upon exercise of all options (excluding, for this purpose, options which have lapsed in accordance with the terms of the Share Option Scheme and any other share option scheme of the Group) to be gra</t>
        </is>
      </c>
    </row>
    <row r="60">
      <c r="A60" s="8" t="inlineStr">
        <is>
          <t>Share-based Payment</t>
        </is>
      </c>
      <c r="B60" s="8" t="inlineStr">
        <is>
          <t>以股份為基礎的付款</t>
        </is>
      </c>
      <c r="C60" s="8" t="inlineStr">
        <is>
          <t>medium</t>
        </is>
      </c>
      <c r="D60" s="11" t="inlineStr">
        <is>
          <t>share option</t>
        </is>
      </c>
      <c r="E60" s="11" t="inlineStr">
        <is>
          <t>PDF p.51 (印刷頁 49)</t>
        </is>
      </c>
      <c r="F60" s="11" t="inlineStr">
        <is>
          <t>or each participant The total number of Shares issued and which may fall to be issued upon exercise of the options granted under the Share Option Scheme and any other share option scheme of our Group (including both exercised or outstanding options) to each participant in any 12-month period shall not exceed 1.0% of the issued share capital of the Company for the time being (the “Individual Limit”). Any further grant of options in excess of the Individual Limit in any 12-month period up to and including the date of such further</t>
        </is>
      </c>
    </row>
    <row r="61">
      <c r="A61" s="8" t="inlineStr">
        <is>
          <t>Share-based Payment</t>
        </is>
      </c>
      <c r="B61" s="8" t="inlineStr">
        <is>
          <t>以股份為基礎的付款</t>
        </is>
      </c>
      <c r="C61" s="8" t="inlineStr">
        <is>
          <t>medium</t>
        </is>
      </c>
      <c r="D61" s="11" t="inlineStr">
        <is>
          <t>share option</t>
        </is>
      </c>
      <c r="E61" s="11" t="inlineStr">
        <is>
          <t>PDF p.76 (印刷頁 74)</t>
        </is>
      </c>
      <c r="F61" s="11" t="inlineStr">
        <is>
          <t>etionary performance bonus, transportation allowance and staff meals), along with promotion opportunities and discretionary grant of share options. Remuneration packages are constructed with reference to the prevailing market level, in line with the competency, performance, qualification and experience of each individual employee. Performance bonus and share options are given to outstanding employees on a discretionary basis, and as a recognition of his/her contributions toward the Group. During the Reporting Period, all of the</t>
        </is>
      </c>
    </row>
    <row r="62">
      <c r="A62" s="8" t="inlineStr">
        <is>
          <t>Share-based Payment</t>
        </is>
      </c>
      <c r="B62" s="8" t="inlineStr">
        <is>
          <t>以股份為基礎的付款</t>
        </is>
      </c>
      <c r="C62" s="8" t="inlineStr">
        <is>
          <t>medium</t>
        </is>
      </c>
      <c r="D62" s="11" t="inlineStr">
        <is>
          <t>share-based payment</t>
        </is>
      </c>
      <c r="E62" s="11" t="inlineStr">
        <is>
          <t>PDF p.101 (印刷頁 99)</t>
        </is>
      </c>
      <c r="F62" s="11" t="inlineStr">
        <is>
          <t>value for measurement and/or disclosure purposes in this consolidated financial statements is determined on such a basis, except for share-based payment transactions that are within the scope of HKFRS 2 Share-based Payment, leasing transactions that are within the scope of HKFRS 16 Leases, and measurements that have some similarities to fair value but are not fair value, such as net realisable value in HKAS 2 Inventories or value in use in HKAS 36 Impairment of Assets. In addition, for financial reporting purposes, fair value m</t>
        </is>
      </c>
    </row>
    <row r="63">
      <c r="A63" s="8" t="inlineStr">
        <is>
          <t>Share-based Payment</t>
        </is>
      </c>
      <c r="B63" s="8" t="inlineStr">
        <is>
          <t>以股份為基礎的付款</t>
        </is>
      </c>
      <c r="C63" s="8" t="inlineStr">
        <is>
          <t>medium</t>
        </is>
      </c>
      <c r="D63" s="11" t="inlineStr">
        <is>
          <t>share-based payment</t>
        </is>
      </c>
      <c r="E63" s="11" t="inlineStr">
        <is>
          <t>PDF p.105 (印刷頁 103)</t>
        </is>
      </c>
      <c r="F63" s="11" t="inlineStr">
        <is>
          <t>d in accordance with HKAS 12 Income Taxes and HKAS 19 Employee Benefits respectively; • liabilities or equity instruments related to share-based payment arrangements of the acquiree or share-based payment arrangements of the Group entered into to replace share-based payment arrangements of the acquiree are measured in accordance with HKFRS 2 Sharebased Payment at the acquisition date; • assets (or disposal groups) that are classified as held for sale in accordance with HKFRS 5 Non-current Assets Held for Sale and Discontinued</t>
        </is>
      </c>
    </row>
    <row r="64">
      <c r="A64" s="8" t="inlineStr">
        <is>
          <t>Share-based Payment</t>
        </is>
      </c>
      <c r="B64" s="8" t="inlineStr">
        <is>
          <t>以股份為基礎的付款</t>
        </is>
      </c>
      <c r="C64" s="8" t="inlineStr">
        <is>
          <t>medium</t>
        </is>
      </c>
      <c r="D64" s="11" t="inlineStr">
        <is>
          <t>risk-free rate</t>
        </is>
      </c>
      <c r="E64" s="11" t="inlineStr">
        <is>
          <t>PDF p.122 (印刷頁 120)</t>
        </is>
      </c>
      <c r="F64" s="11" t="inlineStr">
        <is>
          <t>orrowing rate depends on the term, currency and start date of the lease and is determined based on a series of inputs including: the risk-free rate based on government bond rates; a country-specific risk adjustment and a credit risk adjustment based on bond yields whether the risk profile of the entity that enters into the lease is different to that of the Group and whether the lease benefit from a guarantee from the Group. The lease payments include: • fixed payments (including in-substance fixed payments) less any lease incen</t>
        </is>
      </c>
    </row>
    <row r="65">
      <c r="A65" s="8" t="inlineStr">
        <is>
          <t>Share-based Payment</t>
        </is>
      </c>
      <c r="B65" s="8" t="inlineStr">
        <is>
          <t>以股份為基礎的付款</t>
        </is>
      </c>
      <c r="C65" s="8" t="inlineStr">
        <is>
          <t>medium</t>
        </is>
      </c>
      <c r="D65" s="11" t="inlineStr">
        <is>
          <t>share-based payment</t>
        </is>
      </c>
      <c r="E65" s="11" t="inlineStr">
        <is>
          <t>PDF p.125 (印刷頁 123)</t>
        </is>
      </c>
      <c r="F65" s="11" t="inlineStr">
        <is>
          <t>or benefits accruing to employees (such as wages and salaries, annual leave and sick leave) after deducting any amount already paid. Share-based payments Share options granted to employees Equity-settled share-based payments to employees and others providing similar services are measured at the fair value of the equity instruments at the grant date. The fair value of the equity-settled share-based payments determined at the grant date without taking into consideration all non-market vesting conditions is expensed on a straight-</t>
        </is>
      </c>
    </row>
    <row r="66">
      <c r="A66" s="8" t="inlineStr">
        <is>
          <t>Related Party Transactions</t>
        </is>
      </c>
      <c r="B66" s="8" t="inlineStr">
        <is>
          <t>關聯方交易</t>
        </is>
      </c>
      <c r="C66" s="8" t="inlineStr">
        <is>
          <t>low</t>
        </is>
      </c>
      <c r="D66" s="11" t="inlineStr">
        <is>
          <t>related party</t>
        </is>
      </c>
      <c r="E66" s="11" t="inlineStr">
        <is>
          <t>PDF p.44 (印刷頁 42)</t>
        </is>
      </c>
      <c r="F66" s="11" t="inlineStr">
        <is>
          <t>rch 2026, the Group was in compliance, in all material respects, with the relevant environmental laws and regulations. CONNECTED AND RELATED PARTY TRANSACTIONS Details of material related party transactions undertaken in the normal course of business of the Group are set out in note 31 to the consolidated financial statements, certain of which constitute discloseable connected transactions under the GEM Listing Rules. These connected transactions have complied with the requirements under Chapter 20 of the GEM Listing Rules. 42</t>
        </is>
      </c>
    </row>
    <row r="67">
      <c r="A67" s="8" t="inlineStr">
        <is>
          <t>Related Party Transactions</t>
        </is>
      </c>
      <c r="B67" s="8" t="inlineStr">
        <is>
          <t>關聯方交易</t>
        </is>
      </c>
      <c r="C67" s="8" t="inlineStr">
        <is>
          <t>low</t>
        </is>
      </c>
      <c r="D67" s="11" t="inlineStr">
        <is>
          <t>connected transaction</t>
        </is>
      </c>
      <c r="E67" s="11" t="inlineStr">
        <is>
          <t>PDF p.45 (印刷頁 43)</t>
        </is>
      </c>
      <c r="F67" s="11" t="inlineStr">
        <is>
          <t>LIMITED • ANNUAL REPORT 2025/26 REPORT OF DIRECTORS Pursuant to Chapter 20 of the GEM Listing Rules, the following transactions are connected transactions which are subject to the disclosure requirements under Chapter 20 of the GEM Listing Rules. The Framework Agreement Reference is made to the announcement of the Company dated 1 November 2024 in relation to the provision of platform (the “Platform”) services (the “Platform Services”) by Nanjing Zerui Longxiang Supply Chain Management Co., Ltd.* (南京澤瑞龍祥供應鏈管理有限公司), a limited li</t>
        </is>
      </c>
    </row>
    <row r="68">
      <c r="A68" s="8" t="inlineStr">
        <is>
          <t>Related Party Transactions</t>
        </is>
      </c>
      <c r="B68" s="8" t="inlineStr">
        <is>
          <t>關聯方交易</t>
        </is>
      </c>
      <c r="C68" s="8" t="inlineStr">
        <is>
          <t>low</t>
        </is>
      </c>
      <c r="D68" s="11" t="inlineStr">
        <is>
          <t>connected transaction</t>
        </is>
      </c>
      <c r="E68" s="11" t="inlineStr">
        <is>
          <t>PDF p.46 (印刷頁 44)</t>
        </is>
      </c>
      <c r="F68" s="11" t="inlineStr">
        <is>
          <t>rate of 50% was applied in estimating the revenue to be generated during the year. As set out above, the CCT ceased to be continuing connected transactions for the Company as at 31 March 2026. Confirmation of Independent Non-executive Directors The independent non-executive Directors have reviewed CCT during the year ended 31 March 2026, and confirmed that CCT has been entered into (i) in the ordinary and usual course of business of the Group; (ii) on normal commercial terms or better; and (iii) according to the agreement gover</t>
        </is>
      </c>
    </row>
    <row r="69">
      <c r="A69" s="8" t="inlineStr">
        <is>
          <t>Related Party Transactions</t>
        </is>
      </c>
      <c r="B69" s="8" t="inlineStr">
        <is>
          <t>關聯方交易</t>
        </is>
      </c>
      <c r="C69" s="8" t="inlineStr">
        <is>
          <t>low</t>
        </is>
      </c>
      <c r="D69" s="11" t="inlineStr">
        <is>
          <t>related party</t>
        </is>
      </c>
      <c r="E69" s="11" t="inlineStr">
        <is>
          <t>PDF p.53 (印刷頁 51)</t>
        </is>
      </c>
      <c r="F69" s="11" t="inlineStr">
        <is>
          <t>. DIRECTORS’ MATERIAL INTERESTS IN TRANSACTIONS, ARRANGEMENTS AND CONTRACTS Save as disclosed in the paragraph headed “Connected and Related Party Transactions” in this section and in note 31 to the consolidated financial statements, no transaction, arrangement or contract of significance in relation to the Group’s business to which the Company or any of its subsidiaries, fellow subsidiaries or parent company was a party and in which a Director or his or her connected entity had, directly or indirectly, a material interest subs</t>
        </is>
      </c>
    </row>
    <row r="70">
      <c r="A70" s="8" t="inlineStr">
        <is>
          <t>Related Party Transactions</t>
        </is>
      </c>
      <c r="B70" s="8" t="inlineStr">
        <is>
          <t>關聯方交易</t>
        </is>
      </c>
      <c r="C70" s="8" t="inlineStr">
        <is>
          <t>low</t>
        </is>
      </c>
      <c r="D70" s="11" t="inlineStr">
        <is>
          <t>related party</t>
        </is>
      </c>
      <c r="E70" s="11" t="inlineStr">
        <is>
          <t>PDF p.102 (印刷頁 100)</t>
        </is>
      </c>
      <c r="F70" s="11" t="inlineStr">
        <is>
          <t>he amounts due to directors of approximately HK$12,506,000 in the next 12 months from financial year end date. • on 31 March 2026, a related party of the Company has provided a loan of RMB8,000,000 (equivalent to approximately HK$9,094,000) to the Company and the related party will not demand repayment in the next 12 months from the grant date of the loan. • On 23 June 2026, a financial provider has provided to the Group an unsecured loan facility in the principal amount of up to HK$10,000,000 to the Group. As at 30 June 2026,</t>
        </is>
      </c>
    </row>
    <row r="71">
      <c r="A71" s="8" t="inlineStr">
        <is>
          <t>Related Party Transactions</t>
        </is>
      </c>
      <c r="B71" s="8" t="inlineStr">
        <is>
          <t>關聯方交易</t>
        </is>
      </c>
      <c r="C71" s="8" t="inlineStr">
        <is>
          <t>low</t>
        </is>
      </c>
      <c r="D71" s="11" t="inlineStr">
        <is>
          <t>related party</t>
        </is>
      </c>
      <c r="E71" s="11" t="inlineStr">
        <is>
          <t>PDF p.129 (印刷頁 127)</t>
        </is>
      </c>
      <c r="F71" s="11" t="inlineStr">
        <is>
          <t>or any member of a group of which it is a part, provides key management personnel services to the Group or to the Group’s parent. A related party transaction is a transfer of resources, services or obligation between the Group and a related party, regardless of whether a price is charged. Close family members of a person are those family members who may be expected to influence, or be influenced by, that person in their dealings with the entity. 4. FINANCIAL RISK MANAGEMENT AND FAIR VALUE MEASUREMENTS Categories of financial a</t>
        </is>
      </c>
    </row>
    <row r="72">
      <c r="A72" s="8" t="inlineStr">
        <is>
          <t>Related Party Transactions</t>
        </is>
      </c>
      <c r="B72" s="8" t="inlineStr">
        <is>
          <t>關聯方交易</t>
        </is>
      </c>
      <c r="C72" s="8" t="inlineStr">
        <is>
          <t>low</t>
        </is>
      </c>
      <c r="D72" s="11" t="inlineStr">
        <is>
          <t>related party</t>
        </is>
      </c>
      <c r="E72" s="11" t="inlineStr">
        <is>
          <t>PDF p.131 (印刷頁 129)</t>
        </is>
      </c>
      <c r="F72" s="11" t="inlineStr">
        <is>
          <t>). This is mainly attributable to the Group’s exposure to interest rates on its variable rate of bank borrowings and amount due to a related party. Credit risk and impairment assessment The Group’s credit risk is primarily attributable to trade receivables, deposits, other receivables and bank balances. At 31 March 2026 and 2025, the Group’s maximum exposure to credit risk which will cause a financial loss to the Group due to failure to discharge an obligation by the counterparties is arising from the carrying amount of the res</t>
        </is>
      </c>
    </row>
    <row r="73">
      <c r="A73" s="8" t="inlineStr">
        <is>
          <t>Related Party Transactions</t>
        </is>
      </c>
      <c r="B73" s="8" t="inlineStr">
        <is>
          <t>關聯方交易</t>
        </is>
      </c>
      <c r="C73" s="8" t="inlineStr">
        <is>
          <t>low</t>
        </is>
      </c>
      <c r="D73" s="11" t="inlineStr">
        <is>
          <t>related party</t>
        </is>
      </c>
      <c r="E73" s="11" t="inlineStr">
        <is>
          <t>PDF p.161 (印刷頁 159)</t>
        </is>
      </c>
      <c r="F73" s="11" t="inlineStr">
        <is>
          <t>35,559) Loss and total comprehensive expense for the year – (4,347) (4,347) At 31 March 2026 113,760 (153,666) (39,906) 31. MATERIAL RELATED PARTY TRANSACTION Compensation of key management personnel of the Group, including directors’ remuneration as disclosed in note 11 to the consolidated financial statements, is as follows: 2026 2025 HK$’000 HK$’000 Salaries, allowance and benefit in kind 4,468 5,276 Retirement benefit schemes contributions 16 56 4,484 5,332 159</t>
        </is>
      </c>
    </row>
    <row r="74">
      <c r="A74" s="8" t="inlineStr">
        <is>
          <t>Related Party Transactions</t>
        </is>
      </c>
      <c r="B74" s="8" t="inlineStr">
        <is>
          <t>關聯方交易</t>
        </is>
      </c>
      <c r="C74" s="8" t="inlineStr">
        <is>
          <t>low</t>
        </is>
      </c>
      <c r="D74" s="11" t="inlineStr">
        <is>
          <t>related party</t>
        </is>
      </c>
      <c r="E74" s="11" t="inlineStr">
        <is>
          <t>PDF p.162 (印刷頁 160)</t>
        </is>
      </c>
      <c r="F74" s="11" t="inlineStr">
        <is>
          <t>OLDINGS LIMITED • ANNUAL REPORT 2025/26 NOTES TO THE CONSOLIDATED FINANCIAL STATEMENTS For the year ended 31 March 2026 31. MATERIAL RELATED PARTY TRANSACTION (Continued) Other than as disclosed elsewhere in these consolidated financial statements, the Group has following transactions with related parties: 2026 2025 Relationships Nature of balances/transactions HK$’000 HK$’000 Related company (Note a) Rental expense 398 692 Related company (Note a) Service expense 76 3 Related company (Note b) Rental expense – 709 Notes: a Ms.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22" topLeftCell="A23"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R&amp;D Expenses</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Goodwill</t>
        </is>
      </c>
    </row>
    <row r="13">
      <c r="A13" s="8" t="inlineStr">
        <is>
          <t>Balance Sheet</t>
        </is>
      </c>
      <c r="B13" s="8" t="inlineStr">
        <is>
          <t>Investment Properties</t>
        </is>
      </c>
    </row>
    <row r="14">
      <c r="A14" s="8" t="inlineStr">
        <is>
          <t>Balance Sheet</t>
        </is>
      </c>
      <c r="B14" s="8" t="inlineStr">
        <is>
          <t>Total Liabilities</t>
        </is>
      </c>
    </row>
    <row r="15">
      <c r="A15" s="8" t="inlineStr">
        <is>
          <t>Cash Flow</t>
        </is>
      </c>
      <c r="B15" s="8" t="inlineStr">
        <is>
          <t>Operating Cash Flow</t>
        </is>
      </c>
    </row>
    <row r="16">
      <c r="A16" s="8" t="inlineStr">
        <is>
          <t>Cash Flow</t>
        </is>
      </c>
      <c r="B16" s="8" t="inlineStr">
        <is>
          <t>Financing Cash Flow</t>
        </is>
      </c>
    </row>
    <row r="19">
      <c r="A19" s="5" t="inlineStr">
        <is>
          <t>二、文字量過低的頁面(疑似掃描頁)</t>
        </is>
      </c>
    </row>
    <row r="20">
      <c r="A20" s="2" t="inlineStr">
        <is>
          <t>這些頁面幾乎抓不到文字,通常是掃描件或純圖表,建議人手翻閱或另行 OCR。</t>
        </is>
      </c>
    </row>
    <row r="22">
      <c r="A22" s="7" t="inlineStr">
        <is>
          <t>PDF 頁碼</t>
        </is>
      </c>
      <c r="B22" s="7" t="inlineStr">
        <is>
          <t>狀態</t>
        </is>
      </c>
    </row>
    <row r="23">
      <c r="A23"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2026-08-30T14:16:58Z</dcterms:created>
  <dcterms:modified xsi:type="dcterms:W3CDTF">2026-08-30T14:16:58Z</dcterms:modified>
</cp:coreProperties>
</file>
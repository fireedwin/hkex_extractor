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9C0006"/>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8"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08220_BINGO_GROUP_20260729.pdf</t>
        </is>
      </c>
    </row>
    <row r="5">
      <c r="A5" s="3" t="inlineStr">
        <is>
          <t>產生時間 Generated</t>
        </is>
      </c>
      <c r="B5" s="4" t="inlineStr">
        <is>
          <t>2026-08-30 22:16</t>
        </is>
      </c>
    </row>
    <row r="6">
      <c r="A6" s="4" t="inlineStr"/>
      <c r="B6" s="4" t="inlineStr"/>
    </row>
    <row r="7">
      <c r="A7" s="3" t="inlineStr">
        <is>
          <t>總頁數 Total pages</t>
        </is>
      </c>
      <c r="B7" s="4" t="n">
        <v>230</v>
      </c>
    </row>
    <row r="8">
      <c r="A8" s="3" t="inlineStr">
        <is>
          <t>已擷取字元 Characters extracted</t>
        </is>
      </c>
      <c r="B8" s="4" t="n">
        <v>417385</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3</v>
      </c>
    </row>
    <row r="13">
      <c r="A13" s="3" t="inlineStr">
        <is>
          <t>財務科目擷取筆數 Financial line items</t>
        </is>
      </c>
      <c r="B13" s="4" t="n">
        <v>11</v>
      </c>
    </row>
    <row r="14">
      <c r="A14" s="3" t="inlineStr">
        <is>
          <t>主題段落擷取筆數 Topic extracts</t>
        </is>
      </c>
      <c r="B14" s="4" t="n">
        <v>108</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56,604 − 120,748 = -64,144</t>
        </is>
      </c>
    </row>
    <row r="20">
      <c r="A20" s="7" t="inlineStr">
        <is>
          <t>✗ 收入 − 銷售成本 = 毛利</t>
        </is>
      </c>
      <c r="B20" s="4" t="inlineStr">
        <is>
          <t>78 − 28,454 = -28,376 vs 毛利 18,929</t>
        </is>
      </c>
    </row>
    <row r="21">
      <c r="A21" s="6" t="inlineStr">
        <is>
          <t>✓ 三大報表應相鄰</t>
        </is>
      </c>
      <c r="B21" s="4" t="inlineStr">
        <is>
          <t>Income Statement: p.107、Balance Sheet: p.109、Cash Flow: p.112(相距 5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8" t="inlineStr">
        <is>
          <t>參數 Parameter</t>
        </is>
      </c>
      <c r="B4" s="8" t="inlineStr">
        <is>
          <t>中文</t>
        </is>
      </c>
      <c r="C4" s="8" t="inlineStr">
        <is>
          <t>下限 Low (%)</t>
        </is>
      </c>
      <c r="D4" s="8" t="inlineStr">
        <is>
          <t>上限 High (%)</t>
        </is>
      </c>
      <c r="E4" s="8" t="inlineStr">
        <is>
          <t>原文數值</t>
        </is>
      </c>
      <c r="F4" s="8" t="inlineStr">
        <is>
          <t>信心度</t>
        </is>
      </c>
      <c r="G4" s="8" t="inlineStr">
        <is>
          <t>來源頁 Source Page</t>
        </is>
      </c>
      <c r="H4" s="8" t="inlineStr">
        <is>
          <t>上下文 Context</t>
        </is>
      </c>
    </row>
    <row r="5">
      <c r="A5" s="9" t="inlineStr">
        <is>
          <t>Discount Rate</t>
        </is>
      </c>
      <c r="B5" s="9" t="inlineStr">
        <is>
          <t>折現率</t>
        </is>
      </c>
      <c r="C5" s="10" t="n">
        <v>14.17</v>
      </c>
      <c r="D5" s="11" t="n">
        <v>14.17</v>
      </c>
      <c r="E5" s="12" t="inlineStr">
        <is>
          <t>14.17%</t>
        </is>
      </c>
      <c r="F5" s="12" t="inlineStr">
        <is>
          <t>High</t>
        </is>
      </c>
      <c r="G5" s="12" t="inlineStr">
        <is>
          <t>PDF p.170 (印刷頁 169)</t>
        </is>
      </c>
      <c r="H5" s="12" t="inlineStr">
        <is>
          <t xml:space="preserve">investments from 14.17% to rate, the lower the fair 15.17% value 電影及短劇投資 貼現現金流量 貼現率介乎14.17%至 貼現率越高，公平值越低 15.17% The movements during the year in the balance 該等第三級公平值計量結餘於 of these Level 3 fair value measurements are 年內的變動如下： as follows: Films </t>
        </is>
      </c>
    </row>
    <row r="6">
      <c r="A6" s="9" t="inlineStr">
        <is>
          <t>Discount Rate</t>
        </is>
      </c>
      <c r="B6" s="9" t="inlineStr">
        <is>
          <t>折現率</t>
        </is>
      </c>
      <c r="C6" s="10" t="n">
        <v>15.17</v>
      </c>
      <c r="D6" s="11" t="n">
        <v>15.17</v>
      </c>
      <c r="E6" s="12" t="inlineStr">
        <is>
          <t>15.17%</t>
        </is>
      </c>
      <c r="F6" s="12" t="inlineStr">
        <is>
          <t>High</t>
        </is>
      </c>
      <c r="G6" s="12" t="inlineStr">
        <is>
          <t>PDF p.170 (印刷頁 169)</t>
        </is>
      </c>
      <c r="H6" s="12" t="inlineStr">
        <is>
          <t xml:space="preserve">rom 14.17% to rate, the lower the fair 15.17% value 電影及短劇投資 貼現現金流量 貼現率介乎14.17%至 貼現率越高，公平值越低 15.17% The movements during the year in the balance 該等第三級公平值計量結餘於 of these Level 3 fair value measurements are 年內的變動如下： as follows: Films and Unlisted </t>
        </is>
      </c>
    </row>
    <row r="7">
      <c r="A7" s="9" t="inlineStr">
        <is>
          <t>Expected Volatility</t>
        </is>
      </c>
      <c r="B7" s="9" t="inlineStr">
        <is>
          <t>預期波幅</t>
        </is>
      </c>
      <c r="C7" s="10" t="n">
        <v>102.3</v>
      </c>
      <c r="D7" s="11" t="n">
        <v>102.3</v>
      </c>
      <c r="E7" s="12" t="inlineStr">
        <is>
          <t>102.3%</t>
        </is>
      </c>
      <c r="F7" s="12" t="inlineStr">
        <is>
          <t>High</t>
        </is>
      </c>
      <c r="G7" s="12" t="inlineStr">
        <is>
          <t>PDF p.216 (印刷頁 215)</t>
        </is>
      </c>
      <c r="H7" s="12" t="inlineStr">
        <is>
          <t xml:space="preserve"> Risk-free rate: 無風險利率： 3.428% Expected life of the options: 購股權之預期年期： 5 years年 Expected volatility: 預期波幅： 102.3% Expected dividend yield: 預期股息收益率： 0% Exercise multiple: 行使倍數： 2.20–2.80 Closing price of the Company’s 本公司股份於緊接授出上述 HK$1.16港元 shares immediately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8" t="inlineStr">
        <is>
          <t>報表 Statement</t>
        </is>
      </c>
      <c r="B4" s="8" t="inlineStr">
        <is>
          <t>科目 Item</t>
        </is>
      </c>
      <c r="C4" s="8" t="inlineStr">
        <is>
          <t>本年 Current</t>
        </is>
      </c>
      <c r="D4" s="8" t="inlineStr">
        <is>
          <t>上年 Prior</t>
        </is>
      </c>
      <c r="E4" s="8" t="inlineStr">
        <is>
          <t>變動 YoY %</t>
        </is>
      </c>
      <c r="F4" s="8" t="inlineStr">
        <is>
          <t>來源頁</t>
        </is>
      </c>
      <c r="G4" s="8" t="inlineStr">
        <is>
          <t>原文行 Source line</t>
        </is>
      </c>
    </row>
    <row r="5">
      <c r="A5" s="9" t="inlineStr">
        <is>
          <t>Income Statement</t>
        </is>
      </c>
      <c r="B5" s="9" t="inlineStr">
        <is>
          <t>Revenue</t>
        </is>
      </c>
      <c r="C5" s="13" t="n">
        <v>78</v>
      </c>
      <c r="D5" s="14" t="n">
        <v>47383</v>
      </c>
      <c r="E5" s="15">
        <f>IF(ISERROR((C5-D5)/ABS(D5)),"",(C5-D5)/ABS(D5))</f>
        <v>-0.9983538399848046</v>
      </c>
      <c r="F5" s="12" t="inlineStr">
        <is>
          <t>PDF p.107 (印刷頁 106)</t>
        </is>
      </c>
      <c r="G5" s="12" t="inlineStr">
        <is>
          <t>Revenue 收益 7,8 47,383 12,114</t>
        </is>
      </c>
    </row>
    <row r="6">
      <c r="A6" s="9" t="inlineStr">
        <is>
          <t>Income Statement</t>
        </is>
      </c>
      <c r="B6" s="9" t="inlineStr">
        <is>
          <t>Cost of Sales</t>
        </is>
      </c>
      <c r="C6" s="13" t="n">
        <v>-28454</v>
      </c>
      <c r="D6" s="14" t="n">
        <v>-5949</v>
      </c>
      <c r="E6" s="15">
        <f>IF(ISERROR((C6-D6)/ABS(D6)),"",(C6-D6)/ABS(D6))</f>
        <v>-3.7829887376029583</v>
      </c>
      <c r="F6" s="12" t="inlineStr">
        <is>
          <t>PDF p.107 (印刷頁 106)</t>
        </is>
      </c>
      <c r="G6" s="12" t="inlineStr">
        <is>
          <t>Cost of sales and services 銷售及服務成本 (28,454) (5,949)</t>
        </is>
      </c>
    </row>
    <row r="7">
      <c r="A7" s="9" t="inlineStr">
        <is>
          <t>Income Statement</t>
        </is>
      </c>
      <c r="B7" s="9" t="inlineStr">
        <is>
          <t>Gross Profit</t>
        </is>
      </c>
      <c r="C7" s="13" t="n">
        <v>18929</v>
      </c>
      <c r="D7" s="14" t="n">
        <v>6165</v>
      </c>
      <c r="E7" s="15">
        <f>IF(ISERROR((C7-D7)/ABS(D7)),"",(C7-D7)/ABS(D7))</f>
        <v>2.070397404703974</v>
      </c>
      <c r="F7" s="12" t="inlineStr">
        <is>
          <t>PDF p.107 (印刷頁 106)</t>
        </is>
      </c>
      <c r="G7" s="12" t="inlineStr">
        <is>
          <t>Gross profit 毛利 18,929 6,165</t>
        </is>
      </c>
    </row>
    <row r="8">
      <c r="A8" s="9" t="inlineStr">
        <is>
          <t>Income Statement</t>
        </is>
      </c>
      <c r="B8" s="9" t="inlineStr">
        <is>
          <t>Finance Costs</t>
        </is>
      </c>
      <c r="C8" s="13" t="n">
        <v>-1942</v>
      </c>
      <c r="D8" s="14" t="n">
        <v>-2320</v>
      </c>
      <c r="E8" s="15">
        <f>IF(ISERROR((C8-D8)/ABS(D8)),"",(C8-D8)/ABS(D8))</f>
        <v>0.1629310344827586</v>
      </c>
      <c r="F8" s="12" t="inlineStr">
        <is>
          <t>PDF p.107 (印刷頁 106)</t>
        </is>
      </c>
      <c r="G8" s="12" t="inlineStr">
        <is>
          <t>Finance costs 融資成本 10 (1,942) (2,320)</t>
        </is>
      </c>
    </row>
    <row r="9">
      <c r="A9" s="9" t="inlineStr">
        <is>
          <t>Income Statement</t>
        </is>
      </c>
      <c r="B9" s="9" t="inlineStr">
        <is>
          <t>Profit Before Tax</t>
        </is>
      </c>
      <c r="C9" s="13" t="n">
        <v>-23541</v>
      </c>
      <c r="D9" s="14" t="n">
        <v>-21792</v>
      </c>
      <c r="E9" s="15">
        <f>IF(ISERROR((C9-D9)/ABS(D9)),"",(C9-D9)/ABS(D9))</f>
        <v>-0.08025881057268723</v>
      </c>
      <c r="F9" s="12" t="inlineStr">
        <is>
          <t>PDF p.107 (印刷頁 106)</t>
        </is>
      </c>
      <c r="G9" s="12" t="inlineStr">
        <is>
          <t>Loss before taxation 除稅前虧損 11 (23,541) (21,792)</t>
        </is>
      </c>
    </row>
    <row r="10">
      <c r="A10" s="9" t="inlineStr">
        <is>
          <t>Income Statement</t>
        </is>
      </c>
      <c r="B10" s="9" t="inlineStr">
        <is>
          <t>Profit for the Year</t>
        </is>
      </c>
      <c r="C10" s="13" t="n">
        <v>-26026</v>
      </c>
      <c r="D10" s="14" t="n">
        <v>-23262</v>
      </c>
      <c r="E10" s="15">
        <f>IF(ISERROR((C10-D10)/ABS(D10)),"",(C10-D10)/ABS(D10))</f>
        <v>-0.11882039377525579</v>
      </c>
      <c r="F10" s="12" t="inlineStr">
        <is>
          <t>PDF p.107 (印刷頁 106)</t>
        </is>
      </c>
      <c r="G10" s="12" t="inlineStr">
        <is>
          <t>Loss for the year 本年度虧損 (26,026) (23,262)</t>
        </is>
      </c>
    </row>
    <row r="11">
      <c r="A11" s="9" t="inlineStr">
        <is>
          <t>Balance Sheet</t>
        </is>
      </c>
      <c r="B11" s="9" t="inlineStr">
        <is>
          <t>Property Plant and Equipment</t>
        </is>
      </c>
      <c r="C11" s="13" t="n">
        <v>100</v>
      </c>
      <c r="D11" s="14" t="n">
        <v>103</v>
      </c>
      <c r="E11" s="15">
        <f>IF(ISERROR((C11-D11)/ABS(D11)),"",(C11-D11)/ABS(D11))</f>
        <v>-0.02912621359223301</v>
      </c>
      <c r="F11" s="12" t="inlineStr">
        <is>
          <t>PDF p.109 (印刷頁 108)</t>
        </is>
      </c>
      <c r="G11" s="12" t="inlineStr">
        <is>
          <t>Property, plant and equipment 物業、廠房及設備 17 100 103</t>
        </is>
      </c>
    </row>
    <row r="12">
      <c r="A12" s="9" t="inlineStr">
        <is>
          <t>Balance Sheet</t>
        </is>
      </c>
      <c r="B12" s="9" t="inlineStr">
        <is>
          <t>Trade Receivables</t>
        </is>
      </c>
      <c r="C12" s="13" t="n">
        <v>1731</v>
      </c>
      <c r="D12" s="14" t="n">
        <v>151</v>
      </c>
      <c r="E12" s="15">
        <f>IF(ISERROR((C12-D12)/ABS(D12)),"",(C12-D12)/ABS(D12))</f>
        <v>10.463576158940397</v>
      </c>
      <c r="F12" s="12" t="inlineStr">
        <is>
          <t>PDF p.109 (印刷頁 108)</t>
        </is>
      </c>
      <c r="G12" s="12" t="inlineStr">
        <is>
          <t>Trade receivables 應收賬款 22 1,731 151</t>
        </is>
      </c>
    </row>
    <row r="13">
      <c r="A13" s="9" t="inlineStr">
        <is>
          <t>Balance Sheet</t>
        </is>
      </c>
      <c r="B13" s="9" t="inlineStr">
        <is>
          <t>Cash and Equivalents</t>
        </is>
      </c>
      <c r="C13" s="13" t="n">
        <v>29403</v>
      </c>
      <c r="D13" s="14" t="n">
        <v>40226</v>
      </c>
      <c r="E13" s="15">
        <f>IF(ISERROR((C13-D13)/ABS(D13)),"",(C13-D13)/ABS(D13))</f>
        <v>-0.2690548401531348</v>
      </c>
      <c r="F13" s="12" t="inlineStr">
        <is>
          <t>PDF p.109 (印刷頁 108)</t>
        </is>
      </c>
      <c r="G13" s="12" t="inlineStr">
        <is>
          <t>Cash and cash equivalents 現金及現金等值物 24 29,403 40,226</t>
        </is>
      </c>
    </row>
    <row r="14">
      <c r="A14" s="9" t="inlineStr">
        <is>
          <t>Balance Sheet</t>
        </is>
      </c>
      <c r="B14" s="9" t="inlineStr">
        <is>
          <t>Total Current Assets</t>
        </is>
      </c>
      <c r="C14" s="13" t="n">
        <v>56604</v>
      </c>
      <c r="D14" s="14" t="n">
        <v>52425</v>
      </c>
      <c r="E14" s="15">
        <f>IF(ISERROR((C14-D14)/ABS(D14)),"",(C14-D14)/ABS(D14))</f>
        <v>0.07971387696709585</v>
      </c>
      <c r="F14" s="12" t="inlineStr">
        <is>
          <t>PDF p.109 (印刷頁 108)</t>
        </is>
      </c>
      <c r="G14" s="12" t="inlineStr">
        <is>
          <t>[current assets 區段小計] 56,604 52,425</t>
        </is>
      </c>
    </row>
    <row r="15">
      <c r="A15" s="9" t="inlineStr">
        <is>
          <t>Balance Sheet</t>
        </is>
      </c>
      <c r="B15" s="9" t="inlineStr">
        <is>
          <t>Total Current Liabilities</t>
        </is>
      </c>
      <c r="C15" s="13" t="n">
        <v>120748</v>
      </c>
      <c r="D15" s="14" t="n">
        <v>84569</v>
      </c>
      <c r="E15" s="15">
        <f>IF(ISERROR((C15-D15)/ABS(D15)),"",(C15-D15)/ABS(D15))</f>
        <v>0.4278045146566709</v>
      </c>
      <c r="F15" s="12" t="inlineStr">
        <is>
          <t>PDF p.109 (印刷頁 108)</t>
        </is>
      </c>
      <c r="G15" s="12" t="inlineStr">
        <is>
          <t>[current liabilities 區段小計] 120,748 84,569</t>
        </is>
      </c>
    </row>
    <row r="17">
      <c r="A17"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8" t="inlineStr">
        <is>
          <t>比率 Ratio</t>
        </is>
      </c>
      <c r="B4" s="8" t="inlineStr">
        <is>
          <t>本年 Current</t>
        </is>
      </c>
      <c r="C4" s="8" t="inlineStr">
        <is>
          <t>上年 Prior</t>
        </is>
      </c>
      <c r="D4" s="8" t="inlineStr">
        <is>
          <t>說明</t>
        </is>
      </c>
    </row>
    <row r="5">
      <c r="A5" s="4" t="inlineStr">
        <is>
          <t>Gross Margin 毛利率</t>
        </is>
      </c>
      <c r="B5" s="16">
        <f>IF(ISERROR(INDEX('Financials 財務數據'!$C$5:$C$15,MATCH("Gross Profit",'Financials 財務數據'!$B$5:$B$15,0))/INDEX('Financials 財務數據'!$C$5:$C$15,MATCH("Revenue",'Financials 財務數據'!$B$5:$B$15,0))),"n/a",INDEX('Financials 財務數據'!$C$5:$C$15,MATCH("Gross Profit",'Financials 財務數據'!$B$5:$B$15,0))/INDEX('Financials 財務數據'!$C$5:$C$15,MATCH("Revenue",'Financials 財務數據'!$B$5:$B$15,0)))</f>
        <v>242.67948717948718</v>
      </c>
      <c r="C5" s="16">
        <f>IF(ISERROR(INDEX('Financials 財務數據'!$D$5:$D$15,MATCH("Gross Profit",'Financials 財務數據'!$B$5:$B$15,0))/INDEX('Financials 財務數據'!$D$5:$D$15,MATCH("Revenue",'Financials 財務數據'!$B$5:$B$15,0))),"n/a",INDEX('Financials 財務數據'!$D$5:$D$15,MATCH("Gross Profit",'Financials 財務數據'!$B$5:$B$15,0))/INDEX('Financials 財務數據'!$D$5:$D$15,MATCH("Revenue",'Financials 財務數據'!$B$5:$B$15,0)))</f>
        <v>0.13010995504716882</v>
      </c>
      <c r="D5" s="2" t="inlineStr">
        <is>
          <t>毛利 ÷ 收入</t>
        </is>
      </c>
    </row>
    <row r="6">
      <c r="A6" s="4" t="inlineStr">
        <is>
          <t>Net Margin 淨利率</t>
        </is>
      </c>
      <c r="B6" s="16">
        <f>IF(ISERROR(INDEX('Financials 財務數據'!$C$5:$C$15,MATCH("Profit for the Year",'Financials 財務數據'!$B$5:$B$15,0))/INDEX('Financials 財務數據'!$C$5:$C$15,MATCH("Revenue",'Financials 財務數據'!$B$5:$B$15,0))),"n/a",INDEX('Financials 財務數據'!$C$5:$C$15,MATCH("Profit for the Year",'Financials 財務數據'!$B$5:$B$15,0))/INDEX('Financials 財務數據'!$C$5:$C$15,MATCH("Revenue",'Financials 財務數據'!$B$5:$B$15,0)))</f>
        <v>-333.6666666666667</v>
      </c>
      <c r="C6" s="16">
        <f>IF(ISERROR(INDEX('Financials 財務數據'!$D$5:$D$15,MATCH("Profit for the Year",'Financials 財務數據'!$B$5:$B$15,0))/INDEX('Financials 財務數據'!$D$5:$D$15,MATCH("Revenue",'Financials 財務數據'!$B$5:$B$15,0))),"n/a",INDEX('Financials 財務數據'!$D$5:$D$15,MATCH("Profit for the Year",'Financials 財務數據'!$B$5:$B$15,0))/INDEX('Financials 財務數據'!$D$5:$D$15,MATCH("Revenue",'Financials 財務數據'!$B$5:$B$15,0)))</f>
        <v>-0.490935567608636</v>
      </c>
      <c r="D6" s="2" t="inlineStr">
        <is>
          <t>年內溢利 ÷ 收入</t>
        </is>
      </c>
    </row>
    <row r="7">
      <c r="A7" s="4" t="inlineStr">
        <is>
          <t>Current Ratio 流動比率</t>
        </is>
      </c>
      <c r="B7" s="17">
        <f>IF(ISERROR(INDEX('Financials 財務數據'!$C$5:$C$15,MATCH("Total Current Assets",'Financials 財務數據'!$B$5:$B$15,0))/INDEX('Financials 財務數據'!$C$5:$C$15,MATCH("Total Current Liabilities",'Financials 財務數據'!$B$5:$B$15,0))),"n/a",INDEX('Financials 財務數據'!$C$5:$C$15,MATCH("Total Current Assets",'Financials 財務數據'!$B$5:$B$15,0))/INDEX('Financials 財務數據'!$C$5:$C$15,MATCH("Total Current Liabilities",'Financials 財務數據'!$B$5:$B$15,0)))</f>
        <v>0.46877795077351175</v>
      </c>
      <c r="C7" s="17">
        <f>IF(ISERROR(INDEX('Financials 財務數據'!$D$5:$D$15,MATCH("Total Current Assets",'Financials 財務數據'!$B$5:$B$15,0))/INDEX('Financials 財務數據'!$D$5:$D$15,MATCH("Total Current Liabilities",'Financials 財務數據'!$B$5:$B$15,0))),"n/a",INDEX('Financials 財務數據'!$D$5:$D$15,MATCH("Total Current Assets",'Financials 財務數據'!$B$5:$B$15,0))/INDEX('Financials 財務數據'!$D$5:$D$15,MATCH("Total Current Liabilities",'Financials 財務數據'!$B$5:$B$15,0)))</f>
        <v>0.619908004114983</v>
      </c>
      <c r="D7" s="2" t="inlineStr">
        <is>
          <t>流動資產 ÷ 流動負債</t>
        </is>
      </c>
    </row>
    <row r="8">
      <c r="A8" s="4" t="inlineStr">
        <is>
          <t>Debt / Equity 負債權益比</t>
        </is>
      </c>
      <c r="B8" s="17" t="str">
        <f>IF(ISERROR(INDEX('Financials 財務數據'!$C$5:$C$15,MATCH("Total Liabilities",'Financials 財務數據'!$B$5:$B$15,0))/INDEX('Financials 財務數據'!$C$5:$C$15,MATCH("Total Equity",'Financials 財務數據'!$B$5:$B$15,0))),"n/a",INDEX('Financials 財務數據'!$C$5:$C$15,MATCH("Total Liabilities",'Financials 財務數據'!$B$5:$B$15,0))/INDEX('Financials 財務數據'!$C$5:$C$15,MATCH("Total Equity",'Financials 財務數據'!$B$5:$B$15,0)))</f>
        <v>n/a</v>
      </c>
      <c r="C8" s="17" t="str">
        <f>IF(ISERROR(INDEX('Financials 財務數據'!$D$5:$D$15,MATCH("Total Liabilities",'Financials 財務數據'!$B$5:$B$15,0))/INDEX('Financials 財務數據'!$D$5:$D$15,MATCH("Total Equity",'Financials 財務數據'!$B$5:$B$15,0))),"n/a",INDEX('Financials 財務數據'!$D$5:$D$15,MATCH("Total Liabilities",'Financials 財務數據'!$B$5:$B$15,0))/INDEX('Financials 財務數據'!$D$5:$D$15,MATCH("Total Equity",'Financials 財務數據'!$B$5:$B$15,0)))</f>
        <v>n/a</v>
      </c>
      <c r="D8" s="2" t="inlineStr">
        <is>
          <t>總負債 ÷ 總權益</t>
        </is>
      </c>
    </row>
    <row r="9">
      <c r="A9" s="4" t="inlineStr">
        <is>
          <t>Goodwill / Total Assets</t>
        </is>
      </c>
      <c r="B9" s="16" t="str">
        <f>IF(ISERROR(INDEX('Financials 財務數據'!$C$5:$C$15,MATCH("Goodwill",'Financials 財務數據'!$B$5:$B$15,0))/INDEX('Financials 財務數據'!$C$5:$C$15,MATCH("Total Assets",'Financials 財務數據'!$B$5:$B$15,0))),"n/a",INDEX('Financials 財務數據'!$C$5:$C$15,MATCH("Goodwill",'Financials 財務數據'!$B$5:$B$15,0))/INDEX('Financials 財務數據'!$C$5:$C$15,MATCH("Total Assets",'Financials 財務數據'!$B$5:$B$15,0)))</f>
        <v>n/a</v>
      </c>
      <c r="C9" s="16" t="str">
        <f>IF(ISERROR(INDEX('Financials 財務數據'!$D$5:$D$15,MATCH("Goodwill",'Financials 財務數據'!$B$5:$B$15,0))/INDEX('Financials 財務數據'!$D$5:$D$15,MATCH("Total Assets",'Financials 財務數據'!$B$5:$B$15,0))),"n/a",INDEX('Financials 財務數據'!$D$5:$D$15,MATCH("Goodwill",'Financials 財務數據'!$B$5:$B$15,0))/INDEX('Financials 財務數據'!$D$5:$D$15,MATCH("Total Assets",'Financials 財務數據'!$B$5:$B$15,0)))</f>
        <v>n/a</v>
      </c>
      <c r="D9" s="2" t="inlineStr">
        <is>
          <t>商譽佔總資產比重 — 減值風險指標</t>
        </is>
      </c>
    </row>
    <row r="10">
      <c r="A10" s="4" t="inlineStr">
        <is>
          <t>Intangibles / Total Assets</t>
        </is>
      </c>
      <c r="B10" s="16" t="str">
        <f>IF(ISERROR(INDEX('Financials 財務數據'!$C$5:$C$15,MATCH("Intangible Assets",'Financials 財務數據'!$B$5:$B$15,0))/INDEX('Financials 財務數據'!$C$5:$C$15,MATCH("Total Assets",'Financials 財務數據'!$B$5:$B$15,0))),"n/a",INDEX('Financials 財務數據'!$C$5:$C$15,MATCH("Intangible Assets",'Financials 財務數據'!$B$5:$B$15,0))/INDEX('Financials 財務數據'!$C$5:$C$15,MATCH("Total Assets",'Financials 財務數據'!$B$5:$B$15,0)))</f>
        <v>n/a</v>
      </c>
      <c r="C10" s="16" t="str">
        <f>IF(ISERROR(INDEX('Financials 財務數據'!$D$5:$D$15,MATCH("Intangible Assets",'Financials 財務數據'!$B$5:$B$15,0))/INDEX('Financials 財務數據'!$D$5:$D$15,MATCH("Total Assets",'Financials 財務數據'!$B$5:$B$15,0))),"n/a",INDEX('Financials 財務數據'!$D$5:$D$15,MATCH("Intangible Assets",'Financials 財務數據'!$B$5:$B$15,0))/INDEX('Financials 財務數據'!$D$5:$D$15,MATCH("Total Assets",'Financials 財務數據'!$B$5:$B$15,0)))</f>
        <v>n/a</v>
      </c>
      <c r="D10" s="2" t="inlineStr">
        <is>
          <t>無形資產佔比</t>
        </is>
      </c>
    </row>
    <row r="11">
      <c r="A11" s="4" t="inlineStr">
        <is>
          <t>ROE 股本回報率</t>
        </is>
      </c>
      <c r="B11" s="16" t="str">
        <f>IF(ISERROR(INDEX('Financials 財務數據'!$C$5:$C$15,MATCH("Profit for the Year",'Financials 財務數據'!$B$5:$B$15,0))/INDEX('Financials 財務數據'!$C$5:$C$15,MATCH("Total Equity",'Financials 財務數據'!$B$5:$B$15,0))),"n/a",INDEX('Financials 財務數據'!$C$5:$C$15,MATCH("Profit for the Year",'Financials 財務數據'!$B$5:$B$15,0))/INDEX('Financials 財務數據'!$C$5:$C$15,MATCH("Total Equity",'Financials 財務數據'!$B$5:$B$15,0)))</f>
        <v>n/a</v>
      </c>
      <c r="C11" s="16" t="str">
        <f>IF(ISERROR(INDEX('Financials 財務數據'!$D$5:$D$15,MATCH("Profit for the Year",'Financials 財務數據'!$B$5:$B$15,0))/INDEX('Financials 財務數據'!$D$5:$D$15,MATCH("Total Equity",'Financials 財務數據'!$B$5:$B$15,0))),"n/a",INDEX('Financials 財務數據'!$D$5:$D$15,MATCH("Profit for the Year",'Financials 財務數據'!$B$5:$B$15,0))/INDEX('Financials 財務數據'!$D$5:$D$15,MATCH("Total Equity",'Financials 財務數據'!$B$5:$B$15,0)))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8" t="inlineStr">
        <is>
          <t>Item</t>
        </is>
      </c>
      <c r="B4" s="18" t="inlineStr">
        <is>
          <t>Prior</t>
        </is>
      </c>
      <c r="C4" s="18" t="inlineStr">
        <is>
          <t>Current</t>
        </is>
      </c>
    </row>
    <row r="5">
      <c r="A5" s="4" t="inlineStr">
        <is>
          <t>Revenue</t>
        </is>
      </c>
      <c r="B5" s="19" t="n">
        <v>47383</v>
      </c>
      <c r="C5" s="19" t="n">
        <v>78</v>
      </c>
    </row>
    <row r="6">
      <c r="A6" s="4" t="inlineStr">
        <is>
          <t>Gross Profit</t>
        </is>
      </c>
      <c r="B6" s="19" t="n">
        <v>6165</v>
      </c>
      <c r="C6" s="19" t="n">
        <v>18929</v>
      </c>
    </row>
    <row r="7">
      <c r="A7" s="4" t="inlineStr">
        <is>
          <t>Profit Before Tax</t>
        </is>
      </c>
      <c r="B7" s="19" t="n">
        <v>-21792</v>
      </c>
      <c r="C7" s="19" t="n">
        <v>-23541</v>
      </c>
    </row>
    <row r="8">
      <c r="A8" s="4" t="inlineStr">
        <is>
          <t>Profit for the Year</t>
        </is>
      </c>
      <c r="B8" s="19" t="n">
        <v>-23262</v>
      </c>
      <c r="C8" s="19" t="n">
        <v>-26026</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11"/>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8" t="inlineStr">
        <is>
          <t>主題 Topic</t>
        </is>
      </c>
      <c r="B3" s="8" t="inlineStr">
        <is>
          <t>中文</t>
        </is>
      </c>
      <c r="C3" s="8" t="inlineStr">
        <is>
          <t>優先</t>
        </is>
      </c>
      <c r="D3" s="8" t="inlineStr">
        <is>
          <t>命中詞</t>
        </is>
      </c>
      <c r="E3" s="8" t="inlineStr">
        <is>
          <t>來源頁</t>
        </is>
      </c>
      <c r="F3" s="8" t="inlineStr">
        <is>
          <t>段落 Snippet</t>
        </is>
      </c>
    </row>
    <row r="4">
      <c r="A4" s="9" t="inlineStr">
        <is>
          <t>Fair Value Measurement</t>
        </is>
      </c>
      <c r="B4" s="9" t="inlineStr">
        <is>
          <t>公允價值計量</t>
        </is>
      </c>
      <c r="C4" s="20" t="inlineStr">
        <is>
          <t>high</t>
        </is>
      </c>
      <c r="D4" s="12" t="inlineStr">
        <is>
          <t>unobservable input</t>
        </is>
      </c>
      <c r="E4" s="12" t="inlineStr">
        <is>
          <t>PDF p.153 (印刷頁 152)</t>
        </is>
      </c>
      <c r="F4" s="12" t="inlineStr">
        <is>
          <t>respectively are 5,334,000港元（二零二五年：無） measured at fair value with fair value being 之電影及短劇投資乃按公平值計量， determined based on significant unobservable inputs 其公平值乃使用估值技術根據重大 using valuation techniques. Judgement and 不可觀察輸入數據釐定。在建立相關 estimation are required in establishing the relevant 估值技術及其相關輸入數據時，須作 valuation techniques and the relevant inputs thereof. 出判斷及估計。儘管本集團認為該等 Whilst the Group considers these valuations are the 估值為最佳估計，但投資市場的持續 best estimates, the ongoing disruptions in investment 干擾、通脹環境及利率上調已導致市 markets, inflationary en</t>
        </is>
      </c>
    </row>
    <row r="5">
      <c r="A5" s="9" t="inlineStr">
        <is>
          <t>Fair Value Measurement</t>
        </is>
      </c>
      <c r="B5" s="9" t="inlineStr">
        <is>
          <t>公允價值計量</t>
        </is>
      </c>
      <c r="C5" s="20" t="inlineStr">
        <is>
          <t>high</t>
        </is>
      </c>
      <c r="D5" s="12" t="inlineStr">
        <is>
          <t>fair value hierarchy</t>
        </is>
      </c>
      <c r="E5" s="12" t="inlineStr">
        <is>
          <t>PDF p.168 (印刷頁 167)</t>
        </is>
      </c>
      <c r="F5" s="12" t="inlineStr">
        <is>
          <t>e Year ended 31 March 2026 截至二零二六年三月三十一日止年度 6. FINANCIAL INSTRUMENTS (Continued) 6. 金融工具（續） (c) Fair value measurement (c) 公平值計量 (i) Fair value hierarchy (i) 公平值層級 The following table presents the fair value of the 下表呈列本集團於二零二六年 Group’s financial instruments measured as at 三月三十一日按經常性基準計 31 March 2026 on a recurring basis, 量的金融工具的公平值，並分 categorised into the three-level fair value 類為香港財務報告準則第13號 hierarchy as defined in HKFRS 13 “Fair value 「公平值計量」所界定的三級公 measurement”. Fair values are categorised into 平值層級。公平值乃根據估值 different fair</t>
        </is>
      </c>
    </row>
    <row r="6">
      <c r="A6" s="9" t="inlineStr">
        <is>
          <t>Fair Value Measurement</t>
        </is>
      </c>
      <c r="B6" s="9" t="inlineStr">
        <is>
          <t>公允價值計量</t>
        </is>
      </c>
      <c r="C6" s="20" t="inlineStr">
        <is>
          <t>high</t>
        </is>
      </c>
      <c r="D6" s="12" t="inlineStr">
        <is>
          <t>fair value hierarchy</t>
        </is>
      </c>
      <c r="E6" s="12" t="inlineStr">
        <is>
          <t>PDF p.169 (印刷頁 168)</t>
        </is>
      </c>
      <c r="F6" s="12" t="inlineStr">
        <is>
          <t>March 2026 截至二零二六年三月三十一日止年度 6. FINANCIAL INSTRUMENTS (Continued) 6. 金融工具（續） (c) Fair value measurement (Continued) (c) 公平值計量（續） (i) Fair value hierarchy (Continued) (i) 公平值層級（續） The Group has a team headed by the finance 本集團設有一支由財務經理領 manager performing valuations for the financial 導的團隊，負責對金融工具進 instruments, including unlisted equity 行估值，其中包括被分類為公 investments and films and short drama 平值層級第三級的非上市股權 investments which are categorised into Level 3 投資以及電影及短劇投資。該 of the fair value hierarchy. The team reports 團隊直接向本集團管理層及審 directly</t>
        </is>
      </c>
    </row>
    <row r="7">
      <c r="A7" s="9" t="inlineStr">
        <is>
          <t>Fair Value Measurement</t>
        </is>
      </c>
      <c r="B7" s="9" t="inlineStr">
        <is>
          <t>公允價值計量</t>
        </is>
      </c>
      <c r="C7" s="20" t="inlineStr">
        <is>
          <t>high</t>
        </is>
      </c>
      <c r="D7" s="12" t="inlineStr">
        <is>
          <t>level 3</t>
        </is>
      </c>
      <c r="E7" s="12" t="inlineStr">
        <is>
          <t>PDF p.170 (印刷頁 169)</t>
        </is>
      </c>
      <c r="F7" s="12" t="inlineStr">
        <is>
          <t>fair 15.17% value 電影及短劇投資 貼現現金流量 貼現率介乎14.17%至 貼現率越高，公平值越低 15.17% The movements during the year in the balance 該等第三級公平值計量結餘於 of these Level 3 fair value measurements are 年內的變動如下： as follows: Films and Unlisted short drama equity investments investments Total 電影及 非上市 短劇投資 權益投資 總計 HK$’000 HK$’000 HK$’000 千港元 千港元 千港元 Additions 增購 5,219 7,708 12,927 Changes in fair value 公平值變動 – 3,964 3,964 Currency realignment 匯兌調整 115 334 449 At 31 March 2026 於二零二六年三月三十一日 5,334 12,006 17,340 BINGO GROUP HOLDINGS LIMITED 169 比高集團控股有限公司</t>
        </is>
      </c>
    </row>
    <row r="8">
      <c r="A8" s="9" t="inlineStr">
        <is>
          <t>Impairment Testing</t>
        </is>
      </c>
      <c r="B8" s="9" t="inlineStr">
        <is>
          <t>減值測試</t>
        </is>
      </c>
      <c r="C8" s="20" t="inlineStr">
        <is>
          <t>high</t>
        </is>
      </c>
      <c r="D8" s="12" t="inlineStr">
        <is>
          <t>impairment loss</t>
        </is>
      </c>
      <c r="E8" s="12" t="inlineStr">
        <is>
          <t>PDF p.121 (印刷頁 120)</t>
        </is>
      </c>
      <c r="F8" s="12" t="inlineStr">
        <is>
          <t>d statement of financial 累計減值虧損（如有）於綜合財務狀 position at cost less subsequent accumulated 況表列賬。 depreciation and subsequent accumulated impairment losses, if any. Depreciation is recognised so as to write off the cost 折舊採用直線法確認，以於估計可使 of assets less their residual values over their 用年期撇銷資產成本減剩餘價值。估 estimated useful lives, using the straight-line method. 計可使用年期、剩餘價值及折舊方法 The estimated useful lives, residual values and 於各報告期末審閱，並按預期基準入 depreciation method are reviewed at the end of each 賬任何估計變動的影響。 reporting period, with the effect</t>
        </is>
      </c>
    </row>
    <row r="9">
      <c r="A9" s="9" t="inlineStr">
        <is>
          <t>Impairment Testing</t>
        </is>
      </c>
      <c r="B9" s="9" t="inlineStr">
        <is>
          <t>減值測試</t>
        </is>
      </c>
      <c r="C9" s="20" t="inlineStr">
        <is>
          <t>high</t>
        </is>
      </c>
      <c r="D9" s="12" t="inlineStr">
        <is>
          <t>impairment loss</t>
        </is>
      </c>
      <c r="E9" s="12" t="inlineStr">
        <is>
          <t>PDF p.133 (印刷頁 132)</t>
        </is>
      </c>
      <c r="F9" s="12" t="inlineStr">
        <is>
          <t>ight-of-use assets to determine 值，以確定是否有任何跡象顯示該等 whether there is any indication that these assets 資產出現減值虧損。倘存在任何該等 have suffered an impairment loss. If any such 跡象，則會估計相關資產的可收回金 indication exists, the recoverable amount of the 額，以確定減值虧損（如有）的幅度。 relevant asset is estimated in order to determine the extent of the impairment loss (if any). The recoverable amount of property, plant and 物業、廠房及設備及使用權資產的可 equipment and right-of-use assets are estimated 收回金額乃獨立估計。倘無法個別估 individually. When it is not possible to estimate the 計資產之可收回金額，本</t>
        </is>
      </c>
    </row>
    <row r="10">
      <c r="A10" s="9" t="inlineStr">
        <is>
          <t>Impairment Testing</t>
        </is>
      </c>
      <c r="B10" s="9" t="inlineStr">
        <is>
          <t>減值測試</t>
        </is>
      </c>
      <c r="C10" s="20" t="inlineStr">
        <is>
          <t>high</t>
        </is>
      </c>
      <c r="D10" s="12" t="inlineStr">
        <is>
          <t>impairment loss</t>
        </is>
      </c>
      <c r="E10" s="12" t="inlineStr">
        <is>
          <t>PDF p.134 (印刷頁 133)</t>
        </is>
      </c>
      <c r="F10" s="12" t="inlineStr">
        <is>
          <t>erating units, with the recoverable amount of the 減少任何商譽的賬面值（如適用）， group of cash-generating units. In allocating the 然後按該單位或一組現金產生單位 impairment loss, the impairment loss is allocated 各項資產的賬面值所佔比例分配至 first to reduce the carrying amount of any goodwill (if 其他資產。資產賬面值不得減少至低 applicable) and then to the other assets on a pro- 於其公平值減出售成本（如可計量）、 rata basis based on the carrying amount of each 其使用價值（如可釐定）及零之中的 asset in the unit or the group of cash-generating 最高值。原應分配至資產的減值虧損 units. The carrying amount of an asset is not 金額按比例分配至該單位或一組</t>
        </is>
      </c>
    </row>
    <row r="11">
      <c r="A11" s="9" t="inlineStr">
        <is>
          <t>Impairment Testing</t>
        </is>
      </c>
      <c r="B11" s="9" t="inlineStr">
        <is>
          <t>減值測試</t>
        </is>
      </c>
      <c r="C11" s="20" t="inlineStr">
        <is>
          <t>high</t>
        </is>
      </c>
      <c r="D11" s="12" t="inlineStr">
        <is>
          <t>減值虧損</t>
        </is>
      </c>
      <c r="E11" s="12" t="inlineStr">
        <is>
          <t>PDF p.137 (印刷頁 136)</t>
        </is>
      </c>
      <c r="F11" s="12" t="inlineStr">
        <is>
          <t>itions of the lease. Right-of-use assets are measured at cost, less 使用權資產按成本計量，減去 any accumulated depreciation and impairment 任何累計折舊及減值虧損，並 losses, and adjusted for any remeasurement of 就租賃負債的任何重新計量作 lease liabilities. 出調整。 136 ANNUAL REPORT 年報 2025/26</t>
        </is>
      </c>
    </row>
    <row r="12">
      <c r="A12" s="9" t="inlineStr">
        <is>
          <t>Impairment Testing</t>
        </is>
      </c>
      <c r="B12" s="9" t="inlineStr">
        <is>
          <t>減值測試</t>
        </is>
      </c>
      <c r="C12" s="20" t="inlineStr">
        <is>
          <t>high</t>
        </is>
      </c>
      <c r="D12" s="12" t="inlineStr">
        <is>
          <t>recoverable amount</t>
        </is>
      </c>
      <c r="E12" s="12" t="inlineStr">
        <is>
          <t>PDF p.160 (印刷頁 159)</t>
        </is>
      </c>
      <c r="F12" s="12" t="inlineStr">
        <is>
          <t>押。 In order to minimise the credit risk in respect 為降低應收賬款及其他應收款 of trade and other receivables, the Group 項所帶來之信貸風險，本集團 reviews the recoverable amount at the end of 於各報告期末檢討可收回金額， each reporting period to ensure that adequate 確保已就不可收回款項計提足 allowances are made for irrecoverable 夠撥備。本集團根據預期信貸 amounts. The Group performs impairment 虧損模式對貿易結餘個別或根 assessment under ECL model on trade 據撥備矩陣進行減值評估。因 balances individually or based on provision 此，本集團董事認為，本集團之 matrix. In this regard, the directors of the 信貸風險已大幅降低。 Group consider that th</t>
        </is>
      </c>
    </row>
    <row r="13">
      <c r="A13" s="9" t="inlineStr">
        <is>
          <t>Impairment Testing</t>
        </is>
      </c>
      <c r="B13" s="9" t="inlineStr">
        <is>
          <t>減值測試</t>
        </is>
      </c>
      <c r="C13" s="20" t="inlineStr">
        <is>
          <t>high</t>
        </is>
      </c>
      <c r="D13" s="12" t="inlineStr">
        <is>
          <t>impairment loss</t>
        </is>
      </c>
      <c r="E13" s="12" t="inlineStr">
        <is>
          <t>PDF p.162 (印刷頁 161)</t>
        </is>
      </c>
      <c r="F13" s="12" t="inlineStr">
        <is>
          <t>年：213,000港元）。於報告期 the year ended 31 March 2026. At the end of 末，其他應收款項的累計減值 the repor ting period, the accumulated 為213,000港元（二零二五年： impairment losses of other receivables is 213,000港元）。 HK$213,000 (2025: HK$213,000). BINGO GROUP HOLDINGS LIMITED 161 比高集團控股有限公司</t>
        </is>
      </c>
    </row>
    <row r="14">
      <c r="A14" s="9" t="inlineStr">
        <is>
          <t>Intangible Assets &amp; Goodwill</t>
        </is>
      </c>
      <c r="B14" s="9" t="inlineStr">
        <is>
          <t>無形資產及商譽</t>
        </is>
      </c>
      <c r="C14" s="20" t="inlineStr">
        <is>
          <t>high</t>
        </is>
      </c>
      <c r="D14" s="12" t="inlineStr">
        <is>
          <t>licence</t>
        </is>
      </c>
      <c r="E14" s="12" t="inlineStr">
        <is>
          <t>PDF p.22 (印刷頁 21)</t>
        </is>
      </c>
      <c r="F14" s="12" t="inlineStr">
        <is>
          <t>the 於本年度，本集團將更多精力放於新媒體開發及 development on new media exploitations and licensing business 特許權業務的發展上，為新媒體內容創作及各種 through granting of IP licences for the creation of new media 線上平台提供知識產權授權，此乃依託本集團於 contents and various online platform, which is a natural 電影製作及知識產權授權方面的經驗與能力的 expansion relying on the film making and IP licensing experience 自然擴展。 and calibre of the Group. The Company is of the view that in light of the agreement 本公司認為，鑑於於二零二四年八月三十一日與 signed with Beijing iQIYI and Zhouling on 31 August 2024 and 北京愛奇藝及宙靈簽署的協議以及其他正在進 ot</t>
        </is>
      </c>
    </row>
    <row r="15">
      <c r="A15" s="9" t="inlineStr">
        <is>
          <t>Intangible Assets &amp; Goodwill</t>
        </is>
      </c>
      <c r="B15" s="9" t="inlineStr">
        <is>
          <t>無形資產及商譽</t>
        </is>
      </c>
      <c r="C15" s="20" t="inlineStr">
        <is>
          <t>high</t>
        </is>
      </c>
      <c r="D15" s="12" t="inlineStr">
        <is>
          <t>trademark</t>
        </is>
      </c>
      <c r="E15" s="12" t="inlineStr">
        <is>
          <t>PDF p.65 (印刷頁 64)</t>
        </is>
      </c>
      <c r="F15" s="12" t="inlineStr">
        <is>
          <t>exploitation of the Intellectual Property Rights including but not 年（「許可期」）。泰藝須自許可協議開始日期的 limited to any products borne the relevant trademarks and 第一個週年日起直至許可期結束向星輝支付一 logos for a three-year period from 29 February 2024 to 28 筆特許權使用費，金額相當於獲本集團使用、應 February 2027 (the “Licensing Period”). Huge Art shall pay the 用或開發知識產權以現金形式所得銷售收入（「銷 TSOL commencing from the first anniversary of the 售收入」）的50%。泰藝於許可期就特許權使用 commencement date of the Licensing Agreement until the end 費應付星輝的總費用年度上限不得超過自許可 of the Licensing Period a royalty equivalent</t>
        </is>
      </c>
    </row>
    <row r="16">
      <c r="A16" s="9" t="inlineStr">
        <is>
          <t>Intangible Assets &amp; Goodwill</t>
        </is>
      </c>
      <c r="B16" s="9" t="inlineStr">
        <is>
          <t>無形資產及商譽</t>
        </is>
      </c>
      <c r="C16" s="20" t="inlineStr">
        <is>
          <t>high</t>
        </is>
      </c>
      <c r="D16" s="12" t="inlineStr">
        <is>
          <t>trademark</t>
        </is>
      </c>
      <c r="E16" s="12" t="inlineStr">
        <is>
          <t>PDF p.98 (印刷頁 97)</t>
        </is>
      </c>
      <c r="F16" s="12" t="inlineStr">
        <is>
          <t>on the protection of 本集團將電影版權、著作權、商標及域名等知識 intellectual property rights such as movie copyrights, 產權保護置於重要位置，嚴格遵循《中華人民共 authorships, trademarks, and domain names, and strictly 和國個人信息保護法》《中華人民共和國著作權 complies with the Law of the People’s Republic of China on the 法》《中華人民共和國民法典》《中華人民共和 Protection of Personal Information (《中華人民共和國個人信息 國合同法》及各項相關知識產權保護法規。為有 保護法》), the Copyright Law of the People’s Republic of China 效防範版權侵犯，本集團與所有承包商及商業夥 (《中華人民共和國著作權法》), the Civil Code of the People’s 伴簽訂保密協定，協定中明確載有禁止使用未經 Republic of China (《中華人民共和國民</t>
        </is>
      </c>
    </row>
    <row r="17">
      <c r="A17" s="9" t="inlineStr">
        <is>
          <t>Intangible Assets &amp; Goodwill</t>
        </is>
      </c>
      <c r="B17" s="9" t="inlineStr">
        <is>
          <t>無形資產及商譽</t>
        </is>
      </c>
      <c r="C17" s="20" t="inlineStr">
        <is>
          <t>high</t>
        </is>
      </c>
      <c r="D17" s="12" t="inlineStr">
        <is>
          <t>可使用年期</t>
        </is>
      </c>
      <c r="E17" s="12" t="inlineStr">
        <is>
          <t>PDF p.121 (印刷頁 120)</t>
        </is>
      </c>
      <c r="F17" s="12" t="inlineStr">
        <is>
          <t>法確認，以於估計可使 of assets less their residual values over their 用年期撇銷資產成本減剩餘價值。估 estimated useful lives, using the straight-line method. 計可使用年期、剩餘價值及折舊方法 The estimated useful lives, residual values and 於各報告期末審閱，並按預期基準入 depreciation method are reviewed at the end of each 賬任何估計變動的影響。 reporting period, with the effect of any changes in estimate accounted for on a prospective basis. Property, plant and equipment are depreciated on a 物業、廠房及設備以直線法按以下年 straight-line basis at the following rates per annum: 率折舊： Leasehold improvement Over th</t>
        </is>
      </c>
    </row>
    <row r="18">
      <c r="A18" s="9" t="inlineStr">
        <is>
          <t>Intangible Assets &amp; Goodwill</t>
        </is>
      </c>
      <c r="B18" s="9" t="inlineStr">
        <is>
          <t>無形資產及商譽</t>
        </is>
      </c>
      <c r="C18" s="20" t="inlineStr">
        <is>
          <t>high</t>
        </is>
      </c>
      <c r="D18" s="12" t="inlineStr">
        <is>
          <t>攤銷</t>
        </is>
      </c>
      <c r="E18" s="12" t="inlineStr">
        <is>
          <t>PDF p.122 (印刷頁 121)</t>
        </is>
      </c>
      <c r="F18" s="12" t="inlineStr">
        <is>
          <t>t or loss. The effective interest method is a method of 實際利率法是一種計算金融資產或 calculating the amortised cost of a financial asset or 金融負債之經攤銷成本以及將利息 financial liability and of allocating interest income and 收入及利息開支分配予有關期間之 interest expense over the relevant period. The 方法。實際利率是確切折現金融資產 effective interest rate is the rate that exactly 或金融負債之預期年期或（倘適用） discounts estimated future cash receipts and 更短期間估計未來現金收入及付款 payments (including all fees and points paid or （包括所有構成實際利率整體部分支 received that form an integral part of the effective 付或收到之費用</t>
        </is>
      </c>
    </row>
    <row r="19">
      <c r="A19" s="9" t="inlineStr">
        <is>
          <t>Intangible Assets &amp; Goodwill</t>
        </is>
      </c>
      <c r="B19" s="9" t="inlineStr">
        <is>
          <t>無形資產及商譽</t>
        </is>
      </c>
      <c r="C19" s="20" t="inlineStr">
        <is>
          <t>high</t>
        </is>
      </c>
      <c r="D19" s="12" t="inlineStr">
        <is>
          <t>攤銷</t>
        </is>
      </c>
      <c r="E19" s="12" t="inlineStr">
        <is>
          <t>PDF p.123 (印刷頁 122)</t>
        </is>
      </c>
      <c r="F19" s="12" t="inlineStr">
        <is>
          <t>ace concerned. All recognised financial assets are measured 所有已確認金融資產其後均根據其 subsequently in their entirety at either amortised 分類，整體按攤銷成本或公平值計量。 cost or fair value, depending on the classification of the financial assets. Classification and subsequent measurement of 金融資產分類及後續計量 financial assets Financial assets that meet the following conditions 符合下列條件之金融資產其後按攤 are subsequently measured at amortised cost: 銷成本計量： • the financial asset is held within a business • 於一個商業模式內持有金融資 model whose objective is to collect contractual 產，而其持</t>
        </is>
      </c>
    </row>
    <row r="20">
      <c r="A20" s="9" t="inlineStr">
        <is>
          <t>Intangible Assets &amp; Goodwill</t>
        </is>
      </c>
      <c r="B20" s="9" t="inlineStr">
        <is>
          <t>無形資產及商譽</t>
        </is>
      </c>
      <c r="C20" s="20" t="inlineStr">
        <is>
          <t>high</t>
        </is>
      </c>
      <c r="D20" s="12" t="inlineStr">
        <is>
          <t>攤銷</t>
        </is>
      </c>
      <c r="E20" s="12" t="inlineStr">
        <is>
          <t>PDF p.124 (印刷頁 123)</t>
        </is>
      </c>
      <c r="F20" s="12" t="inlineStr">
        <is>
          <t>金融資產（續） Classification and subsequent measurement of 金融資產分類及後續計量（續） financial assets (Continued) Amortised cost and interest income 攤銷成本及利息收入 Interest income is recognised using the effective 就其後按攤銷成本計量之金融資產 interest method for financial assets measured 以實際利率法確認利息收入。除其後 subsequently at amortised cost. Interest income is 出現信貸減值之金融資產外，利息收 calculated by applying the effective interest rate to 入乃透過就金融資產總賬面值應用 the gross carrying amount of a financial asset, 實際利率計算。就其後出現信貸減值 except for financial assets that have subsequently 之金融資產而言</t>
        </is>
      </c>
    </row>
    <row r="21">
      <c r="A21" s="9" t="inlineStr">
        <is>
          <t>Intangible Assets &amp; Goodwill</t>
        </is>
      </c>
      <c r="B21" s="9" t="inlineStr">
        <is>
          <t>無形資產及商譽</t>
        </is>
      </c>
      <c r="C21" s="20" t="inlineStr">
        <is>
          <t>high</t>
        </is>
      </c>
      <c r="D21" s="12" t="inlineStr">
        <is>
          <t>攤銷</t>
        </is>
      </c>
      <c r="E21" s="12" t="inlineStr">
        <is>
          <t>PDF p.131 (印刷頁 130)</t>
        </is>
      </c>
      <c r="F21" s="12" t="inlineStr">
        <is>
          <t>ies 金融負債 All financial liabilities are subsequently measured at 所有金融負債其後採用實際利率法 amortised cost using the effective interest method. 按攤銷成本計量。 Financial liabilities at amortised cost 按攤銷成本計量的金融負債 Financial liabilities including trade payables, other 金融負債（包括應付賬款、其他應付 payables and accruals, debt component of 款項及應計款項、可換股債券的債務 conver tible bonds and lease liabilities are 部分及租賃負債）於其後採用實際利 subsequently measured at amortised cost, using the 率法按攤銷成本計量。 effective interest method. 130 ANNUAL REPORT 年報 2025/26</t>
        </is>
      </c>
    </row>
    <row r="22">
      <c r="A22" s="9" t="inlineStr">
        <is>
          <t>Intangible Assets &amp; Goodwill</t>
        </is>
      </c>
      <c r="B22" s="9" t="inlineStr">
        <is>
          <t>無形資產及商譽</t>
        </is>
      </c>
      <c r="C22" s="20" t="inlineStr">
        <is>
          <t>high</t>
        </is>
      </c>
      <c r="D22" s="12" t="inlineStr">
        <is>
          <t>goodwill</t>
        </is>
      </c>
      <c r="E22" s="12" t="inlineStr">
        <is>
          <t>PDF p.134 (印刷頁 133)</t>
        </is>
      </c>
      <c r="F22" s="12" t="inlineStr">
        <is>
          <t>ing the 然後按該單位或一組現金產生單位 impairment loss, the impairment loss is allocated 各項資產的賬面值所佔比例分配至 first to reduce the carrying amount of any goodwill (if 其他資產。資產賬面值不得減少至低 applicable) and then to the other assets on a pro- 於其公平值減出售成本（如可計量）、 rata basis based on the carrying amount of each 其使用價值（如可釐定）及零之中的 asset in the unit or the group of cash-generating 最高值。原應分配至資產的減值虧損 units. The carrying amount of an asset is not 金額按比例分配至該單位或一組現 reduced below the highest of its fair value less costs 金產生單位的其他資產。減值虧損即 of disposal (if measurable), its va</t>
        </is>
      </c>
    </row>
    <row r="23">
      <c r="A23" s="9" t="inlineStr">
        <is>
          <t>Intangible Assets &amp; Goodwill</t>
        </is>
      </c>
      <c r="B23" s="9" t="inlineStr">
        <is>
          <t>無形資產及商譽</t>
        </is>
      </c>
      <c r="C23" s="20" t="inlineStr">
        <is>
          <t>high</t>
        </is>
      </c>
      <c r="D23" s="12" t="inlineStr">
        <is>
          <t>useful life</t>
        </is>
      </c>
      <c r="E23" s="12" t="inlineStr">
        <is>
          <t>PDF p.138 (印刷頁 137)</t>
        </is>
      </c>
      <c r="F23" s="12" t="inlineStr">
        <is>
          <t>使用權資產（續） Right-of-use assets are depreciated on a 使用權資產按直線法於其估計 straight-line basis over the shorter of its 可使用年期及租期（以較短者 estimated useful life and the lease term. 為準）內計提折舊。 The Group presents right-of-use assets as a 本集團於綜合財務狀況報表內 separate line item on the consolidated 將使用權資產呈列為獨立項目。 statement of financial position. (iv) Lease liabilities (iv) 租賃負債 At the commencement date of a lease, the 於租賃開始日期，本集團按當 Group recognises and measures the lease 日未付的租賃付款現值確認及 liability at the present value of lease payments 計量租賃負債。在計算租賃付 that are</t>
        </is>
      </c>
    </row>
    <row r="24">
      <c r="A24" s="9" t="inlineStr">
        <is>
          <t>Intangible Assets &amp; Goodwill</t>
        </is>
      </c>
      <c r="B24" s="9" t="inlineStr">
        <is>
          <t>無形資產及商譽</t>
        </is>
      </c>
      <c r="C24" s="20" t="inlineStr">
        <is>
          <t>high</t>
        </is>
      </c>
      <c r="D24" s="12" t="inlineStr">
        <is>
          <t>攤銷</t>
        </is>
      </c>
      <c r="E24" s="12" t="inlineStr">
        <is>
          <t>PDF p.155 (印刷頁 154)</t>
        </is>
      </c>
      <c r="F24" s="12" t="inlineStr">
        <is>
          <t>e reporting period are as follows: 2026 2025 二零二六年 二零二五年 HK$’000 HK$’000 千港元 千港元 Financial assets 金融資產 Financial assets measured at 按攤銷成本計量的金融資產 amortised cost Trade receivables 應收賬款 1,731 151 Amount due from an associate 應收一間聯營公司款項 27 27 Financial assets included in other 計入其他應收款項及按金 receivables and deposits 之金融資產 2,759 1,335 Bank balances and cash 銀行結餘及現金 29,403 40,226 Financial assets measured at 透過損益按公平值列賬之 fair value through profit or loss 金融資產 Unlisted equity investments 未上市權益投資 12,006 – Films and short drama investments</t>
        </is>
      </c>
    </row>
    <row r="25">
      <c r="A25" s="9" t="inlineStr">
        <is>
          <t>Intangible Assets &amp; Goodwill</t>
        </is>
      </c>
      <c r="B25" s="9" t="inlineStr">
        <is>
          <t>無形資產及商譽</t>
        </is>
      </c>
      <c r="C25" s="20" t="inlineStr">
        <is>
          <t>high</t>
        </is>
      </c>
      <c r="D25" s="12" t="inlineStr">
        <is>
          <t>攤銷</t>
        </is>
      </c>
      <c r="E25" s="12" t="inlineStr">
        <is>
          <t>PDF p.171 (印刷頁 170)</t>
        </is>
      </c>
      <c r="F25" s="12" t="inlineStr">
        <is>
          <t>ets and liabilities (iii) 按公平值以外方式列賬的金融 carried at other than fair value 資產及負債的公平值 The carrying amounts of the Group’s financial 本集團按攤銷成本列值之金融 instruments carried at amortised cost are not 工具之賬面值與其於二零二六 materially different from their fair values as at 年及二零二五年三月三十一日 31 March 2026 and 2025. 之公平值並無重大差異。 7. SEGMENT INFORMATION 7. 分部資料 Management has determined the operating segments 管理層根據執行董事所審閱用於作策略決 based on the reports reviewed by the executive directors 策之報告釐定經營分部。本集團經營業務 that are used to make strategic decisions. The Group’s</t>
        </is>
      </c>
    </row>
    <row r="26">
      <c r="A26" s="9" t="inlineStr">
        <is>
          <t>Investment Properties</t>
        </is>
      </c>
      <c r="B26" s="9" t="inlineStr">
        <is>
          <t>投資物業</t>
        </is>
      </c>
      <c r="C26" s="20" t="inlineStr">
        <is>
          <t>high</t>
        </is>
      </c>
      <c r="D26" s="12" t="inlineStr">
        <is>
          <t>market rent</t>
        </is>
      </c>
      <c r="E26" s="12" t="inlineStr">
        <is>
          <t>PDF p.139 (印刷頁 138)</t>
        </is>
      </c>
      <c r="F26" s="12" t="inlineStr">
        <is>
          <t>p 果租賃期反映出本集團將 exercising an option to terminate the 行使終止租賃的選擇權。 lease. Variable lease payments that reflect changes 反映市場租金變化的可變租賃 in market rental rates are initially measured 付款於開始日期使用市場租金 using the market rental rates as at the 初步計量。並不視乎指數或比 commencement date. Variable lease payments 率而定的可變租賃付款並不計 that do not depend on an index or a rate are 入租賃負債及使用權資產計量， not included in the measurement of lease 而於觸發付款的事件或條件發 liabilities and right-of-use assets, and are 生期間確認為開支。倘租賃合 recognised as expense in the period in which 約載有特定條款，規定就租金</t>
        </is>
      </c>
    </row>
    <row r="27">
      <c r="A27" s="9" t="inlineStr">
        <is>
          <t>Investment Properties</t>
        </is>
      </c>
      <c r="B27" s="9" t="inlineStr">
        <is>
          <t>投資物業</t>
        </is>
      </c>
      <c r="C27" s="20" t="inlineStr">
        <is>
          <t>high</t>
        </is>
      </c>
      <c r="D27" s="12" t="inlineStr">
        <is>
          <t>market rent</t>
        </is>
      </c>
      <c r="E27" s="12" t="inlineStr">
        <is>
          <t>PDF p.140 (印刷頁 139)</t>
        </is>
      </c>
      <c r="F27" s="12" t="inlineStr">
        <is>
          <t>vised 的經修訂貼現率貼現經修 discount rate at the date of reassessment. 訂租賃付款而重新計量。 • the lease payments change due to • 租賃付款因進行市場租金 changes in market rental rates following a 調查後市場租金變動而出 market rent review, in which cases the 現變動，在此情況下，相 related lease liability is remeasured by 關租賃負債透過使用初始 discounting the revised lease payments 貼現率貼現經修訂租賃付 using the initial discount rate. 款而重新計量。 The Group presents lease liabilities as a 本集團於綜合財務狀況報表內 separate line item on the consolidated 將租賃負債呈列為單獨項目。 statement of financial position. BINGO GROUP HOLDIN</t>
        </is>
      </c>
    </row>
    <row r="28">
      <c r="A28" s="9" t="inlineStr">
        <is>
          <t>ESG Data</t>
        </is>
      </c>
      <c r="B28" s="9" t="inlineStr">
        <is>
          <t>環境社會及管治數據</t>
        </is>
      </c>
      <c r="C28" s="9" t="inlineStr">
        <is>
          <t>medium</t>
        </is>
      </c>
      <c r="D28" s="12" t="inlineStr">
        <is>
          <t>環境、社會及管治</t>
        </is>
      </c>
      <c r="E28" s="12" t="inlineStr">
        <is>
          <t>PDF p.3 (印刷頁 2)</t>
        </is>
      </c>
      <c r="F28" s="12" t="inlineStr">
        <is>
          <t>Management 董事及資深管理層 28 Corporate Governance Report 企業管治報告 48 Directors’ Report 董事會報告 68 Environmental, Social and Governance Report 環境、社會及管治報告 99 Independent Auditor’s Report 獨立核數師報告 Audited Consolidated Financial Statements: 經審核綜合財務報表： 106 Consolidated Statement of Profit or Loss 綜合損益表 107 Consolidated Statement of Other Comprehensive Income 綜合其他全面收益表 108 Consolidated Statement of Financial Position 綜合財務狀況報表 110 Consolidated Statement of Changes in Equity 綜合權益變動表 111 Consolidated Statement of Cash Flows 綜合現金流量表 114 Notes to t</t>
        </is>
      </c>
    </row>
    <row r="29">
      <c r="A29" s="9" t="inlineStr">
        <is>
          <t>ESG Data</t>
        </is>
      </c>
      <c r="B29" s="9" t="inlineStr">
        <is>
          <t>環境社會及管治數據</t>
        </is>
      </c>
      <c r="C29" s="9" t="inlineStr">
        <is>
          <t>medium</t>
        </is>
      </c>
      <c r="D29" s="12" t="inlineStr">
        <is>
          <t>環境、社會及管治</t>
        </is>
      </c>
      <c r="E29" s="12" t="inlineStr">
        <is>
          <t>PDF p.50 (印刷頁 49)</t>
        </is>
      </c>
      <c r="F29" s="12" t="inlineStr">
        <is>
          <t>opy of the Environmental, Social and Governance 社會及管治報告之實體版本。本集團環境政策及 Report. The environmental policies and performance of 表現於本年報所載的環境、社會及管治報告作出 the Group are disclosed in the Environmental, Social 披露。 and Governance Report included in this Annual Report. Compliance with laws and regulations 遵守法律及規則 In order to comply with the Prevention of Bribery Ordinance, 為遵守《防止賄賂條例》，本集團高度重視全體 the Group emphasises the importance of adhering to 僱員謹守反貪污常規。本集團視誠實、正直及公 anti-corruption practices for all employees. The Group regards 平公正為其核心價值，本集</t>
        </is>
      </c>
    </row>
    <row r="30">
      <c r="A30" s="9" t="inlineStr">
        <is>
          <t>ESG Data</t>
        </is>
      </c>
      <c r="B30" s="9" t="inlineStr">
        <is>
          <t>環境社會及管治數據</t>
        </is>
      </c>
      <c r="C30" s="9" t="inlineStr">
        <is>
          <t>medium</t>
        </is>
      </c>
      <c r="D30" s="12" t="inlineStr">
        <is>
          <t>可持續</t>
        </is>
      </c>
      <c r="E30" s="12" t="inlineStr">
        <is>
          <t>PDF p.51 (印刷頁 50)</t>
        </is>
      </c>
      <c r="F30" s="12" t="inlineStr">
        <is>
          <t>capital to develop and operate the business of the 展及經營本集團業務，並為本公司股東提供穩定 Group and to provide stable and sustainable return to the 及可持續的回報。 shareholders of the Company. In considering the payment of dividends, the Board shall take 於考慮支付股息時，董事會應考慮（其中包括） into account, among other things, the actual and expected 本集團的實際及預期財務表現、本集團的資本及 financial performance of the Group, the capital and debt level of 債務水平、整體市況、任何營運資金需求、資本 the Group, the general market conditions, any working capital 開支要求及本集團的未來發展計劃、本集團的流 requirements, capital expen</t>
        </is>
      </c>
    </row>
    <row r="31">
      <c r="A31" s="9" t="inlineStr">
        <is>
          <t>ESG Data</t>
        </is>
      </c>
      <c r="B31" s="9" t="inlineStr">
        <is>
          <t>環境社會及管治數據</t>
        </is>
      </c>
      <c r="C31" s="9" t="inlineStr">
        <is>
          <t>medium</t>
        </is>
      </c>
      <c r="D31" s="12" t="inlineStr">
        <is>
          <t>可持續</t>
        </is>
      </c>
      <c r="E31" s="12" t="inlineStr">
        <is>
          <t>PDF p.58 (印刷頁 57)</t>
        </is>
      </c>
      <c r="F31" s="12" t="inlineStr">
        <is>
          <t>rticipants; (ii) attract, retain 獻；(ii)吸引、挽留及鼓勵高素質合資格參與者（定 and encourage high-calibre Eligible Participants (as defined 義見下文），以推動本集團的可持續發展；(iii) 使 below) to promote the sustainable development of the Group; 合資格參與者的利益與股東利益保持一致，以促 (iii) align the interest of the Eligible Participants with those of 進本集團的長期表現；及(iv) 激勵合資格參與者 the Shareholders to promote the long-term performance of the 為本集團的長期發展及盈利能力作出貢獻，並優 Group; and (iv) motivate the Eligible Participants to contribute 化彼等的表現及效能。 to, and optimise their performance and efficacy in t</t>
        </is>
      </c>
    </row>
    <row r="32">
      <c r="A32" s="9" t="inlineStr">
        <is>
          <t>ESG Data</t>
        </is>
      </c>
      <c r="B32" s="9" t="inlineStr">
        <is>
          <t>環境社會及管治數據</t>
        </is>
      </c>
      <c r="C32" s="9" t="inlineStr">
        <is>
          <t>medium</t>
        </is>
      </c>
      <c r="D32" s="12" t="inlineStr">
        <is>
          <t>ESG</t>
        </is>
      </c>
      <c r="E32" s="12" t="inlineStr">
        <is>
          <t>PDF p.69 (印刷頁 68)</t>
        </is>
      </c>
      <c r="F32" s="12" t="inlineStr">
        <is>
          <t>“we” or the “Group”) are 司（統稱「我們」或「本集團」）欣然呈列我們截 pleased to present our environmental, social and governance 至二零二六年三月三十一日止年度的環境、社會 (“ESG”) report for the year ended 31 March 2026 (the 及管治（「ESG」）報告（「本報告」）。本報告闡述 “Report”). This Report sets out the Group’s sustainability 了本集團的可持續發展戰略，包括我們的ESG 舉 strategy, including its ESG initiatives and performance. For 措及績效。企業管治相關的資料，請參閱 information regarding corporate governance, please refer to 2025/26年年報中的「企業管治報告」。 the “Corporate Governance Report” in the annual report 2025/26. REPORTING SCOP</t>
        </is>
      </c>
    </row>
    <row r="33">
      <c r="A33" s="9" t="inlineStr">
        <is>
          <t>ESG Data</t>
        </is>
      </c>
      <c r="B33" s="9" t="inlineStr">
        <is>
          <t>環境社會及管治數據</t>
        </is>
      </c>
      <c r="C33" s="9" t="inlineStr">
        <is>
          <t>medium</t>
        </is>
      </c>
      <c r="D33" s="12" t="inlineStr">
        <is>
          <t>ESG</t>
        </is>
      </c>
      <c r="E33" s="12" t="inlineStr">
        <is>
          <t>PDF p.70 (印刷頁 69)</t>
        </is>
      </c>
      <c r="F33" s="12" t="inlineStr">
        <is>
          <t>ons quantitative targets to reduce a particular to help stakeholders clearly understand the impact. In this way the effectiveness of ESG Group’s overall performance. policies and management systems can be 本集團已對關鍵績效指標進行量化披露並附 evaluated and validated. Quantitative 上文字闡釋，協助利益相關者了解集團整體績 information should be accompanied by a 效。 narrative, explaining its purpose, impacts, and giving comparative data where appropriate. 歷史數據相關之關鍵績效指標須可計量，發行 人須訂立量化目標以減少個別因素影響，藉此 評估及驗證ESG 政策與管理體系之成效。量化 資訊應輔以說明，闡明其目的及影響，並於適 當情況下提供比較數據。 Balance The inform</t>
        </is>
      </c>
    </row>
    <row r="34">
      <c r="A34" s="9" t="inlineStr">
        <is>
          <t>ESG Data</t>
        </is>
      </c>
      <c r="B34" s="9" t="inlineStr">
        <is>
          <t>環境社會及管治數據</t>
        </is>
      </c>
      <c r="C34" s="9" t="inlineStr">
        <is>
          <t>medium</t>
        </is>
      </c>
      <c r="D34" s="12" t="inlineStr">
        <is>
          <t>ESG</t>
        </is>
      </c>
      <c r="E34" s="12" t="inlineStr">
        <is>
          <t>PDF p.71 (印刷頁 70)</t>
        </is>
      </c>
      <c r="F34" s="12" t="inlineStr">
        <is>
          <t>ORT 環境、社會及管治報告 COMMENTS AND FEEDBACK 意見反饋 The Group welcomes comments and suggestions from 本集團歡迎持份者對我們的環境、社會及管治方 stakeholders on its ESG approach and sustainability 針及可持續發展表現提供意見及建議。 閣下的 performance. Your valuable feedback can be emailed to 寶貴意見可電郵至info@bingogroup.com.hk。 info@bingogroup.com.hk. BOARD STATEMENT 董事會聲明 The Board of Directors (the “Board”) has the ultimate 董事會（「董事會」）負有最終責任，負責監督本 responsibility for overseeing the Group’s climate-related 集團的氣候相關策略，並監察本集團在管理氣候 strategies and monitoring its progress in managing climat</t>
        </is>
      </c>
    </row>
    <row r="35">
      <c r="A35" s="9" t="inlineStr">
        <is>
          <t>ESG Data</t>
        </is>
      </c>
      <c r="B35" s="9" t="inlineStr">
        <is>
          <t>環境社會及管治數據</t>
        </is>
      </c>
      <c r="C35" s="9" t="inlineStr">
        <is>
          <t>medium</t>
        </is>
      </c>
      <c r="D35" s="12" t="inlineStr">
        <is>
          <t>ESG</t>
        </is>
      </c>
      <c r="E35" s="12" t="inlineStr">
        <is>
          <t>PDF p.72 (印刷頁 71)</t>
        </is>
      </c>
      <c r="F35" s="12" t="inlineStr">
        <is>
          <t>ENVIRONMENTAL, SOCIAL AND GOVERNANCE REPORT 環境、社會及管治報告 ESG working group composed of various functional • Advising the Board on sustainability strategies, work plans departments (e.g. administration department, and targets human resources department, and board 就可持續發展戰略、工作計劃及目標向董事會提出建議 secretariat) • Reviewing and implementing ESG-related policies, procedures 各職能部門組成的環境、社會及管治工作小組（如： and control measures 行政部、人力資源部、及董事會秘書處） 審核並執行ESG相關政策、程序及管控措施 • Closely</t>
        </is>
      </c>
    </row>
    <row r="36">
      <c r="A36" s="9" t="inlineStr">
        <is>
          <t>ESG Data</t>
        </is>
      </c>
      <c r="B36" s="9" t="inlineStr">
        <is>
          <t>環境社會及管治數據</t>
        </is>
      </c>
      <c r="C36" s="9" t="inlineStr">
        <is>
          <t>medium</t>
        </is>
      </c>
      <c r="D36" s="12" t="inlineStr">
        <is>
          <t>ESG</t>
        </is>
      </c>
      <c r="E36" s="12" t="inlineStr">
        <is>
          <t>PDF p.73 (印刷頁 72)</t>
        </is>
      </c>
      <c r="F36" s="12" t="inlineStr">
        <is>
          <t>velop business strategies that better align with 力，並深化與持份者之互信關係。持份者可透過 market expectations, strengthen its risk identification 不同渠道，就ESG 相關議題提供意見與建議。本 capabilities, and deepen its mutual trust with stakeholders. 集團與其主要持份者之間的溝通渠道如下： Stakeholders can provide comments and suggestions on ESGrelated issues through various channels. The channels of communication between the Group and its key stakeholders are set out below: Stakeholders Communication Channels Expectations and Concerns 持份者 溝通渠道 期望與關注 Customers • Email and customer se</t>
        </is>
      </c>
    </row>
    <row r="37">
      <c r="A37" s="9" t="inlineStr">
        <is>
          <t>ESG Data</t>
        </is>
      </c>
      <c r="B37" s="9" t="inlineStr">
        <is>
          <t>環境社會及管治數據</t>
        </is>
      </c>
      <c r="C37" s="9" t="inlineStr">
        <is>
          <t>medium</t>
        </is>
      </c>
      <c r="D37" s="12" t="inlineStr">
        <is>
          <t>ESG</t>
        </is>
      </c>
      <c r="E37" s="12" t="inlineStr">
        <is>
          <t>PDF p.74 (印刷頁 73)</t>
        </is>
      </c>
      <c r="F37" s="12" t="inlineStr">
        <is>
          <t>• Corporate Governance • Company website 企業管治 公司網站 • Business compliance • Announcements 業務合規 公告 • Annual reports, interim reports, ESG reports and other public information 年報、中期報告、ESG 報告及其他公開 資料 Government and • Statutory filings and notices • C o m p l i a n c e w i t h l a w s a n d regulatory 法定申報及通知 regulations agencies • Annual reports, interim reports, ESG 遵守法律法規 政府及監管機構 reports and other public information 年報、中期報告、ESG 報告及其他公開 資料 Community • Company website • Community engagement 社區 公司網站 社區參與 • Announcements • Business</t>
        </is>
      </c>
    </row>
    <row r="38">
      <c r="A38" s="9" t="inlineStr">
        <is>
          <t>ESG Data</t>
        </is>
      </c>
      <c r="B38" s="9" t="inlineStr">
        <is>
          <t>環境社會及管治數據</t>
        </is>
      </c>
      <c r="C38" s="9" t="inlineStr">
        <is>
          <t>medium</t>
        </is>
      </c>
      <c r="D38" s="12" t="inlineStr">
        <is>
          <t>ESG</t>
        </is>
      </c>
      <c r="E38" s="12" t="inlineStr">
        <is>
          <t>PDF p.75 (印刷頁 74)</t>
        </is>
      </c>
      <c r="F38" s="12" t="inlineStr">
        <is>
          <t>ENVIRONMENTAL, SOCIAL AND GOVERNANCE REPORT 環境、社會及管治報告 MATERIALITY ASSESSMENT 重要性評估 To understand stakeholders’ concerns, identify ESG issues that 為了解持份者關注事項，識別對集團營運具關鍵 have a significant impact on the Group’s operations, and 影響之ESG 議題，並據此構建可持續發展策略， formulate a sustainability strategy accordingly, the Group 本集團透過重要性評估，以線上調查問卷為載體， conducts a materiality assessment using an online survey 收集各持份者的關注焦點。重要性評估流程如下： questionnaire to collect stakeholders' key areas of concern. The materiality assessment process is as follows: ‧ With r</t>
        </is>
      </c>
    </row>
    <row r="39">
      <c r="A39" s="9" t="inlineStr">
        <is>
          <t>ESG Data</t>
        </is>
      </c>
      <c r="B39" s="9" t="inlineStr">
        <is>
          <t>環境社會及管治數據</t>
        </is>
      </c>
      <c r="C39" s="9" t="inlineStr">
        <is>
          <t>medium</t>
        </is>
      </c>
      <c r="D39" s="12" t="inlineStr">
        <is>
          <t>環境、社會及管治</t>
        </is>
      </c>
      <c r="E39" s="12" t="inlineStr">
        <is>
          <t>PDF p.76 (印刷頁 75)</t>
        </is>
      </c>
      <c r="F39" s="12" t="inlineStr">
        <is>
          <t>ENVIRONMENTAL, SOCIAL AND GOVERNANCE REPORT 環境、社會及管治報告 The most important issues of the Year, as shown in the top- 從重要性矩陣右上角顯示，本年度最重要的幾個 right corner of the materiality matrix, are: 議題分別是： • Intellectual property rights protection • 知識產權保護 • Operational safety management • 營運安全管理 • Product/service quality and safety • 產品╱服務質量和安全 • Anti-corruption • 反貪污 • Employee remuneration and benefits • 員工薪酬及福利 • Employee training and development • 員工培訓</t>
        </is>
      </c>
    </row>
    <row r="40">
      <c r="A40" s="9" t="inlineStr">
        <is>
          <t>ESG Data</t>
        </is>
      </c>
      <c r="B40" s="9" t="inlineStr">
        <is>
          <t>環境社會及管治數據</t>
        </is>
      </c>
      <c r="C40" s="9" t="inlineStr">
        <is>
          <t>medium</t>
        </is>
      </c>
      <c r="D40" s="12" t="inlineStr">
        <is>
          <t>greenhouse gas</t>
        </is>
      </c>
      <c r="E40" s="12" t="inlineStr">
        <is>
          <t>PDF p.77 (印刷頁 76)</t>
        </is>
      </c>
      <c r="F40" s="12" t="inlineStr">
        <is>
          <t>本集團重要ESG主題 A. Environmental A1. Emissions and wastes generated 1. Emission management (air pollutants and responsibility 產生的排放物及廢棄物 greenhouse gas) 環境責任 排放管理（廢氣及溫室氣體） 2. Wastes management 廢棄物管理 A2. Use of resources 3. Energy saving 資源使用 節約能源 A3. The environment and natural 4. Water consumption resources 用水管理 環境及天然資源 5. Effluent discharge 污水排放 A4. Climate change 6. Climate change strategy 氣候變化 應對氣候變化戰略 B. Social B1. Employment 7. Employee remuneration and benefits responsibility 僱傭 員工薪酬及福利 社會責任 8. Diversity and equal opportunit</t>
        </is>
      </c>
    </row>
    <row r="41">
      <c r="A41" s="9" t="inlineStr">
        <is>
          <t>ESG Data</t>
        </is>
      </c>
      <c r="B41" s="9" t="inlineStr">
        <is>
          <t>環境社會及管治數據</t>
        </is>
      </c>
      <c r="C41" s="9" t="inlineStr">
        <is>
          <t>medium</t>
        </is>
      </c>
      <c r="D41" s="12" t="inlineStr">
        <is>
          <t>greenhouse gas</t>
        </is>
      </c>
      <c r="E41" s="12" t="inlineStr">
        <is>
          <t>PDF p.78 (印刷頁 77)</t>
        </is>
      </c>
      <c r="F41" s="12" t="inlineStr">
        <is>
          <t>t aware of any violation of 本年度，本集團並無知悉任何違反有關廢氣及溫 relevant environmental laws and regulations relating air and 室氣體排放、水體與土地排污，以及有害及無害 greenhouse gas emissions, discharges into water and land, and 廢棄物產生等相關環境法律法規之情況，相關法 the generation of hazardous and non-hazardous waste, 規包括但不限於《中華人民共和國環境保護法》 including but not limited to the Environmental Protection Law of 《中華人民共和國水污染防治法》《中華人民共 the People’s Republic of China (《中華人民共和國環境保護法》), 和國大氣污染防治法》《中華人民共和國固體廢 the Water Pollution Prevention and Control Law of the People’s 物污染環境防治法》，以及香港《水污染管制</t>
        </is>
      </c>
    </row>
    <row r="42">
      <c r="A42" s="9" t="inlineStr">
        <is>
          <t>ESG Data</t>
        </is>
      </c>
      <c r="B42" s="9" t="inlineStr">
        <is>
          <t>環境社會及管治數據</t>
        </is>
      </c>
      <c r="C42" s="9" t="inlineStr">
        <is>
          <t>medium</t>
        </is>
      </c>
      <c r="D42" s="12" t="inlineStr">
        <is>
          <t>greenhouse gas</t>
        </is>
      </c>
      <c r="E42" s="12" t="inlineStr">
        <is>
          <t>PDF p.79 (印刷頁 78)</t>
        </is>
      </c>
      <c r="F42" s="12" t="inlineStr">
        <is>
          <t>Ecology and Environment of the People's Republic of China. The boundary scope is defined using the financial control approach of the Greenhouse Gas (GHG) Protocol. 溫室氣體碳排放（範圍二）乃參照聯交所頒佈的《如何準備環境、社會及管治報告附錄二：環境關鍵績效指標匯報指引》、港燈電力投資有限公司發佈的《2025年可持續 發展報告》中的排放系數及中華人民共和國生態環境部（生態環境部）發佈的排放系數計算得出。邊界範圍乃採用《溫室氣體盤查議定書》的財務控制法界定。 2 For the FY2026, the reporting scope has been expanded to disclose emissions data from business travel. Given the Group's business nature and data availability, the remaining Scope 3 categories were not identified as hav</t>
        </is>
      </c>
    </row>
    <row r="43">
      <c r="A43" s="9" t="inlineStr">
        <is>
          <t>ESG Data</t>
        </is>
      </c>
      <c r="B43" s="9" t="inlineStr">
        <is>
          <t>環境社會及管治數據</t>
        </is>
      </c>
      <c r="C43" s="9" t="inlineStr">
        <is>
          <t>medium</t>
        </is>
      </c>
      <c r="D43" s="12" t="inlineStr">
        <is>
          <t>carbon</t>
        </is>
      </c>
      <c r="E43" s="12" t="inlineStr">
        <is>
          <t>PDF p.80 (印刷頁 79)</t>
        </is>
      </c>
      <c r="F43" s="12" t="inlineStr">
        <is>
          <t>ENVIRONMENTAL, SOCIAL AND GOVERNANCE REPORT 環境、社會及管治報告 Measures to Reduce Emissions 減低排放量的措施 To promote carbon reduction efforts, the Group has 為推動減碳工作，本集團已推行多項相關措施， implemented a number of related measures. For details, please 詳情請參閱「A2資源使用」章節。與此同時，本 refer to the section “A2 Use of Resources”. In the meantime, 集團加強對長途差旅的審批管理，減少非必要公 the Group has strengthened its approval management for long- 務出差，並倡導員工優先採用公共交通工具出行。 distance travel, reduced non-essential business trips, and encouraged employees to pri</t>
        </is>
      </c>
    </row>
    <row r="44">
      <c r="A44" s="9" t="inlineStr">
        <is>
          <t>ESG Data</t>
        </is>
      </c>
      <c r="B44" s="9" t="inlineStr">
        <is>
          <t>環境社會及管治數據</t>
        </is>
      </c>
      <c r="C44" s="9" t="inlineStr">
        <is>
          <t>medium</t>
        </is>
      </c>
      <c r="D44" s="12" t="inlineStr">
        <is>
          <t>環境、社會及管治</t>
        </is>
      </c>
      <c r="E44" s="12" t="inlineStr">
        <is>
          <t>PDF p.81 (印刷頁 80)</t>
        </is>
      </c>
      <c r="F44" s="12" t="inlineStr">
        <is>
          <t>ENVIRONMENTAL, SOCIAL AND GOVERNANCE REPORT 環境、社會及管治報告 To reduce non-hazardous waste, the measures taken by the 為了減少無害廢棄物，本集團採取的措施包括： Group include: vigorously promoting green offices, achieving 大力推廣綠色辦公，透過辦公自動化系統實現電 electronic approval and circulation of e-documents through the 子化審批與電子文檔傳閱，有效減少紙張使用， office automation system, effectively reducing paper 鼓勵員工落實無紙化辦公。於必要打印的文件， consumption, and encouraging employees to implement 本集團優先使用環保紙張，以及以</t>
        </is>
      </c>
    </row>
    <row r="45">
      <c r="A45" s="9" t="inlineStr">
        <is>
          <t>ESG Data</t>
        </is>
      </c>
      <c r="B45" s="9" t="inlineStr">
        <is>
          <t>環境社會及管治數據</t>
        </is>
      </c>
      <c r="C45" s="9" t="inlineStr">
        <is>
          <t>medium</t>
        </is>
      </c>
      <c r="D45" s="12" t="inlineStr">
        <is>
          <t>energy consumption</t>
        </is>
      </c>
      <c r="E45" s="12" t="inlineStr">
        <is>
          <t>PDF p.82 (印刷頁 81)</t>
        </is>
      </c>
      <c r="F45" s="12" t="inlineStr">
        <is>
          <t>y for handling if situations such as dripping taps are found. Resource consumption 資源消耗 Unit FY2026 FY2025 單位 二零二六財年 二零二五財年 Indirect energy consumption kWh — Purchased electricity 355,195 258,501 間接能源消耗 — 外購電力 千瓦時 Indirect energy consumption intensity kWh per thousand revenue in HKD — Purchased electricity 7.5 21.34 間接能源消耗強度 — 外購電力 千瓦時╱千港元收益 Water consumption m3 858 1,088 用水量 立方米 Water consumption intensity m3 per thousand revenue in HKD 0.02 0.09 用水量強度 立方米╱千港元收益 Aspect A3: The Environment and Natural Resources A3方面：環境及天然資源 Due</t>
        </is>
      </c>
    </row>
    <row r="46">
      <c r="A46" s="9" t="inlineStr">
        <is>
          <t>ESG Data</t>
        </is>
      </c>
      <c r="B46" s="9" t="inlineStr">
        <is>
          <t>環境社會及管治數據</t>
        </is>
      </c>
      <c r="C46" s="9" t="inlineStr">
        <is>
          <t>medium</t>
        </is>
      </c>
      <c r="D46" s="12" t="inlineStr">
        <is>
          <t>GHG emission</t>
        </is>
      </c>
      <c r="E46" s="12" t="inlineStr">
        <is>
          <t>PDF p.83 (印刷頁 82)</t>
        </is>
      </c>
      <c r="F46" s="12" t="inlineStr">
        <is>
          <t>k Management” section. Metrics and Targets 指標與目標 The Group has set climate-related metrics and targets covering 本集團已制定涵蓋溫室氣體排放及能源效率的 GHG emissions and energy efficiency as follows: 氣候相關指標及目標如下： Targets for the next Metrics decade3 Actions to achieve the targets Progress4 指標 未來十年的目標3 達成目標的行動 進度 4 Total GHG emission To reduce total GHG Please refer to the “Aspect A2: In progress intensity emission intensity by Use of Resources” section. 進行中 總溫室氣體排放量密度 2% within 10 years, 請參閱「A2方面：資源使用」章節 with FY2026 as the base year. 以二零二六財年為基準 年</t>
        </is>
      </c>
    </row>
    <row r="47">
      <c r="A47" s="9" t="inlineStr">
        <is>
          <t>ESG Data</t>
        </is>
      </c>
      <c r="B47" s="9" t="inlineStr">
        <is>
          <t>環境社會及管治數據</t>
        </is>
      </c>
      <c r="C47" s="9" t="inlineStr">
        <is>
          <t>medium</t>
        </is>
      </c>
      <c r="D47" s="12" t="inlineStr">
        <is>
          <t>環境、社會及管治</t>
        </is>
      </c>
      <c r="E47" s="12" t="inlineStr">
        <is>
          <t>PDF p.84 (印刷頁 83)</t>
        </is>
      </c>
      <c r="F47" s="12" t="inlineStr">
        <is>
          <t>ENVIRONMENTAL, SOCIAL AND GOVERNANCE REPORT 環境、社會及管治報告 Targets for the next Metrics decade3 Actions to achieve the targets Progress4 指標 未來十年的目標3 達成目標的行動 進度 4 Water consumption To reduce water Please refer to the “Aspect A2: In progress intensity consumption Use of Resources” section. 進行中 用水強度 intensity by 1% 請參閱「A2方面：資源使用」章節 within 10 years, with FY2026 as the base year. 以二零二六財年為基準 年，用水強度在10年 內降低1%。 Non-hazardous waste To reduce general Ple</t>
        </is>
      </c>
    </row>
    <row r="48">
      <c r="A48" s="9" t="inlineStr">
        <is>
          <t>ESG Data</t>
        </is>
      </c>
      <c r="B48" s="9" t="inlineStr">
        <is>
          <t>環境社會及管治數據</t>
        </is>
      </c>
      <c r="C48" s="9" t="inlineStr">
        <is>
          <t>medium</t>
        </is>
      </c>
      <c r="D48" s="12" t="inlineStr">
        <is>
          <t>energy consumption</t>
        </is>
      </c>
      <c r="E48" s="12" t="inlineStr">
        <is>
          <t>PDF p.85 (印刷頁 84)</t>
        </is>
      </c>
      <c r="F48" s="12" t="inlineStr">
        <is>
          <t>dually replacing LED lighting and 資產損失及增加維修及保險成本。 energy-saving projectors. 2. Extreme high temperatures increase 逐步推進LED照明、節能放映機替換。 energy consumption, resulting in higher costs for the Group. 極端高溫增加能源消耗，集團成本上 升。 3. Extreme weather can disrupt the supply chain, and delays in material supply may lead to price hikes, which will increase operating costs. 極端天氣會使供應鏈受阻，由於物料 供應延遲，價格亦會上升，增加營運 成本。 4. Extreme weather may lead to surges in power grid load, power rationing, downtime of data centres, network lag, or even network outages an</t>
        </is>
      </c>
    </row>
    <row r="49">
      <c r="A49" s="9" t="inlineStr">
        <is>
          <t>ESG Data</t>
        </is>
      </c>
      <c r="B49" s="9" t="inlineStr">
        <is>
          <t>環境社會及管治數據</t>
        </is>
      </c>
      <c r="C49" s="9" t="inlineStr">
        <is>
          <t>medium</t>
        </is>
      </c>
      <c r="D49" s="12" t="inlineStr">
        <is>
          <t>carbon</t>
        </is>
      </c>
      <c r="E49" s="12" t="inlineStr">
        <is>
          <t>PDF p.86 (印刷頁 85)</t>
        </is>
      </c>
      <c r="F49" s="12" t="inlineStr">
        <is>
          <t>bilities. 加強內部環境、社會及管治數據收 集、治理及披露能力。 Resource Implementing energy-saving and Short to Actively promoting green office and Efficiency carbon-reduction measures in the medium low-carbon travel practices to Opportunities workplace and encouraging term comprehensively strengthen energy 資源效率機遇 employees to adopt low-carbon 短期至 conservation and emission reduction travel to reduce daily operating 中期 efforts. costs. 積極推廣綠色辦公及低碳差旅實踐，全 在辦公場所開展節能降碳工作，並鼓 面加強節能減排力度。 勵員工低碳差旅，降低日常運營成本。 Product Releasing new media content with Medium to Active</t>
        </is>
      </c>
    </row>
    <row r="50">
      <c r="A50" s="9" t="inlineStr">
        <is>
          <t>ESG Data</t>
        </is>
      </c>
      <c r="B50" s="9" t="inlineStr">
        <is>
          <t>環境社會及管治數據</t>
        </is>
      </c>
      <c r="C50" s="9" t="inlineStr">
        <is>
          <t>medium</t>
        </is>
      </c>
      <c r="D50" s="12" t="inlineStr">
        <is>
          <t>carbon</t>
        </is>
      </c>
      <c r="E50" s="12" t="inlineStr">
        <is>
          <t>PDF p.87 (印刷頁 86)</t>
        </is>
      </c>
      <c r="F50" s="12" t="inlineStr">
        <is>
          <t>sks was relatively small, 資金額相對較小，並未對本集團構成重大影響。 which did not have a significant impact on the Group. Internal 而內部碳定價目前並非納入我們的決策考量。未 carbon pricing is not currently incorporated into our decision- 來我們將探索內部碳定價的應用。 making considerations. We will explore the application of internal carbon pricing in the future. In FY2026, the Group did not encounter any circumstances 於二零二六財年，本集團並未遭遇任何需由董事 that required the Board to assess trade-offs between climate- 會評估與氣候相關風險及機遇之間權衡取捨的 related risks and opportunities. In addition, the Group has n</t>
        </is>
      </c>
    </row>
    <row r="51">
      <c r="A51" s="9" t="inlineStr">
        <is>
          <t>ESG Data</t>
        </is>
      </c>
      <c r="B51" s="9" t="inlineStr">
        <is>
          <t>環境社會及管治數據</t>
        </is>
      </c>
      <c r="C51" s="9" t="inlineStr">
        <is>
          <t>medium</t>
        </is>
      </c>
      <c r="D51" s="12" t="inlineStr">
        <is>
          <t>環境、社會及管治</t>
        </is>
      </c>
      <c r="E51" s="12" t="inlineStr">
        <is>
          <t>PDF p.88 (印刷頁 87)</t>
        </is>
      </c>
      <c r="F51" s="12" t="inlineStr">
        <is>
          <t>ENVIRONMENTAL, SOCIAL AND GOVERNANCE REPORT 環境、社會及管治報告 Climate Resilience and Scenario Analysis 氣候韌性與情景分析 The Group has not yet conducted a formal climate-related 本集團尚未進行正式的氣候相關情景分析，因此 scenario analysis and therefore has not provided a detailed 現階段尚未提供其氣候韌性的詳細評估。作為一 assessment of its climate resilience at this stage. As a small 間中小型企業，本集團目前缺乏進行有意義的量 and medium-sized enterprise, the Group currently lacks the 化情景建模所需的專業內部技能、技術能力及本 specialised</t>
        </is>
      </c>
    </row>
    <row r="52">
      <c r="A52" s="9" t="inlineStr">
        <is>
          <t>ESG Data</t>
        </is>
      </c>
      <c r="B52" s="9" t="inlineStr">
        <is>
          <t>環境社會及管治數據</t>
        </is>
      </c>
      <c r="C52" s="9" t="inlineStr">
        <is>
          <t>medium</t>
        </is>
      </c>
      <c r="D52" s="12" t="inlineStr">
        <is>
          <t>環境、社會及管治</t>
        </is>
      </c>
      <c r="E52" s="12" t="inlineStr">
        <is>
          <t>PDF p.89 (印刷頁 88)</t>
        </is>
      </c>
      <c r="F52" s="12" t="inlineStr">
        <is>
          <t>ENVIRONMENTAL, SOCIAL AND GOVERNANCE REPORT 環境、社會及管治報告 The composition of the Group’s workforce by employment type, 本集團按僱傭類別、性別、年齡組別及地理區域 gender, age group and geographical region is set out below: 劃分的員工組成情況載列如下： FY2026 FY2025 二零二六財年 二零二五財年 Total workforce Total 97 102 員工總數 總數 By employment type Full time 82 99 按僱傭類別劃分 全職 Part time 15 3 兼職 By gender Male 46 60 按性別劃分 男性 Female 51 42 女性 By age group 30 or below 40 59 按年齡組別劃分 30歲或以下 31–40 29 1</t>
        </is>
      </c>
    </row>
    <row r="53">
      <c r="A53" s="9" t="inlineStr">
        <is>
          <t>ESG Data</t>
        </is>
      </c>
      <c r="B53" s="9" t="inlineStr">
        <is>
          <t>環境社會及管治數據</t>
        </is>
      </c>
      <c r="C53" s="9" t="inlineStr">
        <is>
          <t>medium</t>
        </is>
      </c>
      <c r="D53" s="12" t="inlineStr">
        <is>
          <t>環境、社會及管治</t>
        </is>
      </c>
      <c r="E53" s="12" t="inlineStr">
        <is>
          <t>PDF p.90 (印刷頁 89)</t>
        </is>
      </c>
      <c r="F53" s="12" t="inlineStr">
        <is>
          <t>ENVIRONMENTAL, SOCIAL AND GOVERNANCE REPORT 環境、社會及管治報告 The Group’s employee turnover rates by different categories 本集團按不同類別劃分的僱員流失率如下： are as follows: FY2026 FY2025 二零二六財年 二零二五財年 Overall Employee turnover rate 73.20% 6.86% 整體 僱員流失率 By gender Male 100.00% 6.67% 按性別劃分 男性 Female 49.02% 7.14% 女性 By age group 30 or below 145.00% 10.17% 按年齡組別劃分 30歲或以下 31–40 27.59% 5.88% 31歲至40歲 41–50 28.57% – 41歲至50歲 51–60 10.00% – 51歲至60歲 Above 60 – – 60歲以上 By g</t>
        </is>
      </c>
    </row>
    <row r="54">
      <c r="A54" s="9" t="inlineStr">
        <is>
          <t>ESG Data</t>
        </is>
      </c>
      <c r="B54" s="9" t="inlineStr">
        <is>
          <t>環境社會及管治數據</t>
        </is>
      </c>
      <c r="C54" s="9" t="inlineStr">
        <is>
          <t>medium</t>
        </is>
      </c>
      <c r="D54" s="12" t="inlineStr">
        <is>
          <t>環境、社會及管治</t>
        </is>
      </c>
      <c r="E54" s="12" t="inlineStr">
        <is>
          <t>PDF p.91 (印刷頁 90)</t>
        </is>
      </c>
      <c r="F54" s="12" t="inlineStr">
        <is>
          <t>ENVIRONMENTAL, SOCIAL AND GOVERNANCE REPORT 環境、社會及管治報告 Employment and employee welfare 僱傭及僱員福利 The Group has established a comprehensive internal 本集團已建立完備的內部管理制度體系，包括《員 management system framework, including the Employee 工入職管理制度》《培訓管理制度》及《員工手 Induction Management System (《員工入職管理制度》), Training 冊》，用以規範薪酬福利、招聘解僱、晉升考核、 Management System (《培訓管理制度》), and Employee 工作時數、假期安排及平等機會等各項僱傭管理 Handbook (《員工手冊》), to regulate various employment 政策。 manageme</t>
        </is>
      </c>
    </row>
    <row r="55">
      <c r="A55" s="9" t="inlineStr">
        <is>
          <t>ESG Data</t>
        </is>
      </c>
      <c r="B55" s="9" t="inlineStr">
        <is>
          <t>環境社會及管治數據</t>
        </is>
      </c>
      <c r="C55" s="9" t="inlineStr">
        <is>
          <t>medium</t>
        </is>
      </c>
      <c r="D55" s="12" t="inlineStr">
        <is>
          <t>環境、社會及管治</t>
        </is>
      </c>
      <c r="E55" s="12" t="inlineStr">
        <is>
          <t>PDF p.92 (印刷頁 91)</t>
        </is>
      </c>
      <c r="F55" s="12" t="inlineStr">
        <is>
          <t>ENVIRONMENTAL, SOCIAL AND GOVERNANCE REPORT 環境、社會及管治報告 Welfare 福利 The Group recognises that a sound remuneration and benefits 本集團深知完善的薪酬福利能有效提升員工歸 package can effectively enhance employees’ sense of belonging 屬感及忠誠度。除基本薪金外，員工可享各項福 and loyalty. In addition to basic salary, employees are entitled to 利，包括內地社會保險及醫療保險、香港醫療保 various benefits, including social and medical insurance in 險，以及婚假、產假、侍產假、恩恤假及喪假等法 Mainland China, medical insurance in Hon</t>
        </is>
      </c>
    </row>
    <row r="56">
      <c r="A56" s="9" t="inlineStr">
        <is>
          <t>ESG Data</t>
        </is>
      </c>
      <c r="B56" s="9" t="inlineStr">
        <is>
          <t>環境社會及管治數據</t>
        </is>
      </c>
      <c r="C56" s="9" t="inlineStr">
        <is>
          <t>medium</t>
        </is>
      </c>
      <c r="D56" s="12" t="inlineStr">
        <is>
          <t>環境、社會及管治</t>
        </is>
      </c>
      <c r="E56" s="12" t="inlineStr">
        <is>
          <t>PDF p.93 (印刷頁 92)</t>
        </is>
      </c>
      <c r="F56" s="12" t="inlineStr">
        <is>
          <t>ENVIRONMENTAL, SOCIAL AND GOVERNANCE REPORT 環境、社會及管治報告 Aspect B2: Health and Safety B2方面：健康與安全 The Group emphasises the occupational health and safety of its 本集團高度重視員工職業健康與安全，秉持對員 employees. Adhering to the principle of responsibility towards 工負責的原則，全力營造安全、健康及舒適的工 its employees, it is fully committed to creating a safe, healthy, 作環境，主要採取的措施有： and comfortable working environment. The main measures taken are: • Regularly checking and replenis</t>
        </is>
      </c>
    </row>
    <row r="57">
      <c r="A57" s="9" t="inlineStr">
        <is>
          <t>ESG Data</t>
        </is>
      </c>
      <c r="B57" s="9" t="inlineStr">
        <is>
          <t>環境社會及管治數據</t>
        </is>
      </c>
      <c r="C57" s="9" t="inlineStr">
        <is>
          <t>medium</t>
        </is>
      </c>
      <c r="D57" s="12" t="inlineStr">
        <is>
          <t>環境、社會及管治</t>
        </is>
      </c>
      <c r="E57" s="12" t="inlineStr">
        <is>
          <t>PDF p.94 (印刷頁 93)</t>
        </is>
      </c>
      <c r="F57" s="12" t="inlineStr">
        <is>
          <t>ENVIRONMENTAL, SOCIAL AND GOVERNANCE REPORT 環境、社會及管治報告 Aspect B3: Development and Training B3方面：發展及培訓 The Group firmly believes that cultivating and retaining 本集團深信，培育及挽留優秀人才是企業持續發 outstanding talent is key to its sustainable development and 展及提升核心競爭力的關鍵。為此，本集團已制 enhancement of the core competitiveness. To this end, the 定《培訓管理制度》，為培訓體系的規劃與執行 Group has formulated the Training Management System (《培訓 提供明確依據。本集團根據各部門運作需要及崗 管理制度》) to provide a c</t>
        </is>
      </c>
    </row>
    <row r="58">
      <c r="A58" s="9" t="inlineStr">
        <is>
          <t>ESG Data</t>
        </is>
      </c>
      <c r="B58" s="9" t="inlineStr">
        <is>
          <t>環境社會及管治數據</t>
        </is>
      </c>
      <c r="C58" s="9" t="inlineStr">
        <is>
          <t>medium</t>
        </is>
      </c>
      <c r="D58" s="12" t="inlineStr">
        <is>
          <t>環境、社會及管治</t>
        </is>
      </c>
      <c r="E58" s="12" t="inlineStr">
        <is>
          <t>PDF p.95 (印刷頁 94)</t>
        </is>
      </c>
      <c r="F58" s="12" t="inlineStr">
        <is>
          <t>ENVIRONMENTAL, SOCIAL AND GOVERNANCE REPORT 環境、社會及管治報告 Aspect B4: Labor Standards B4方面：勞工準則 The Group fully recognises the seriousness of employing child 本集團充分認知僱用童工及強迫勞動的嚴重性， labour and forced labour, and therefore resolutely opposes and 故此堅決反對及杜絕此類情況。本年度，本集團 prohibits such practices. During the Year, the Group strictly 嚴格遵守所有適用之勞工保障法規，未出現任何 complied with all applicable labour protection laws and 違反防止童工及強迫勞動相關條文之情況，包括 regulations and recor</t>
        </is>
      </c>
    </row>
    <row r="59">
      <c r="A59" s="9" t="inlineStr">
        <is>
          <t>ESG Data</t>
        </is>
      </c>
      <c r="B59" s="9" t="inlineStr">
        <is>
          <t>環境社會及管治數據</t>
        </is>
      </c>
      <c r="C59" s="9" t="inlineStr">
        <is>
          <t>medium</t>
        </is>
      </c>
      <c r="D59" s="12" t="inlineStr">
        <is>
          <t>ESG</t>
        </is>
      </c>
      <c r="E59" s="12" t="inlineStr">
        <is>
          <t>PDF p.96 (印刷頁 95)</t>
        </is>
      </c>
      <c r="F59" s="12" t="inlineStr">
        <is>
          <t>reat importance on the management of 本集團高度重視供應商環境及社會風險管理，在 environmental and social risks of its suppliers. While 維持穩定合作關係的同時，持續深化供應商ESG maintaining stable cooperative relationships, it continuously 風險管控。針對提供成品食品及原材料的供應商， deepens ESG risk control over suppliers. Suppliers providing 要求其提供國家機關或第三方檢測機構的檢測 finished food products and raw materials are required to 合格證明；涉及品牌代理的產品，供應商須出具 provide certificates of conformity issued by state authorities or 原品牌廠商的授權代理文件。 third-party testing agencies. For products involving brand agencies, s</t>
        </is>
      </c>
    </row>
    <row r="60">
      <c r="A60" s="9" t="inlineStr">
        <is>
          <t>ESG Data</t>
        </is>
      </c>
      <c r="B60" s="9" t="inlineStr">
        <is>
          <t>環境社會及管治數據</t>
        </is>
      </c>
      <c r="C60" s="9" t="inlineStr">
        <is>
          <t>medium</t>
        </is>
      </c>
      <c r="D60" s="12" t="inlineStr">
        <is>
          <t>環境、社會及管治</t>
        </is>
      </c>
      <c r="E60" s="12" t="inlineStr">
        <is>
          <t>PDF p.97 (印刷頁 96)</t>
        </is>
      </c>
      <c r="F60" s="12" t="inlineStr">
        <is>
          <t>ENVIRONMENTAL, SOCIAL AND GOVERNANCE REPORT 環境、社會及管治報告 To ensure timely receipt of and response to customer feedback, 為確保能夠及時收到客戶反饋及作出回應，本集 the Group has a sound customer feedback and complaint 團已建立完善的客戶意見及投訴處理機制。我們 handling mechanism in place. We value the feedback from 重視每一位客戶的回饋，並持續以此優化服務質 every customer and accordingly optimise our service quality. 素。於本年度，本集團並無接獲任何重大投訴， During the Year, the Group did not receive any major 亦無出現基於健康及安全理由而</t>
        </is>
      </c>
    </row>
    <row r="61">
      <c r="A61" s="9" t="inlineStr">
        <is>
          <t>ESG Data</t>
        </is>
      </c>
      <c r="B61" s="9" t="inlineStr">
        <is>
          <t>環境社會及管治數據</t>
        </is>
      </c>
      <c r="C61" s="9" t="inlineStr">
        <is>
          <t>medium</t>
        </is>
      </c>
      <c r="D61" s="12" t="inlineStr">
        <is>
          <t>環境、社會及管治</t>
        </is>
      </c>
      <c r="E61" s="12" t="inlineStr">
        <is>
          <t>PDF p.98 (印刷頁 97)</t>
        </is>
      </c>
      <c r="F61" s="12" t="inlineStr">
        <is>
          <t>ENVIRONMENTAL, SOCIAL AND GOVERNANCE REPORT 環境、社會及管治報告 Protection of data privacy 保護資料私隱 The Group values stakeholders’ concerns about data privacy 本集團重視持份者對資料私隱的關注，並積極履 and actively fulfills its data protection responsibilities in strict 行資料保護責任，恪守相關法規要求。本集團已 compliance with relevant regulatory requirements. The Group 於內部監控政策中訂明資料私隱要求及保密義 has stipulated data privacy requirements and confidentiality 務，僱員須嚴格遵守，並妥善管理機密資料，包 obligations in its</t>
        </is>
      </c>
    </row>
    <row r="62">
      <c r="A62" s="9" t="inlineStr">
        <is>
          <t>ESG Data</t>
        </is>
      </c>
      <c r="B62" s="9" t="inlineStr">
        <is>
          <t>環境社會及管治數據</t>
        </is>
      </c>
      <c r="C62" s="9" t="inlineStr">
        <is>
          <t>medium</t>
        </is>
      </c>
      <c r="D62" s="12" t="inlineStr">
        <is>
          <t>環境、社會及管治</t>
        </is>
      </c>
      <c r="E62" s="12" t="inlineStr">
        <is>
          <t>PDF p.99 (印刷頁 98)</t>
        </is>
      </c>
      <c r="F62" s="12" t="inlineStr">
        <is>
          <t>ENVIRONMENTAL, SOCIAL AND GOVERNANCE REPORT 環境、社會及管治報告 Meanwhile, within the scope of our New Media Business, we 同時，於新媒體業務範疇，我們亦透過素材審核 also ensure that the copyrights of all materials used (including 機制及定期培訓，確保所使用之素材（包括需取 background music that requires authorisation) are legal and 得授權之背景音樂）版權均屬合法合規。 compliant through a material review mechanism and regular training. During the Year, no material non-compliance or violation of 本年度本集團於知識產權事務上並</t>
        </is>
      </c>
    </row>
    <row r="63">
      <c r="A63" s="9" t="inlineStr">
        <is>
          <t>R&amp;D Expenditure</t>
        </is>
      </c>
      <c r="B63" s="9" t="inlineStr">
        <is>
          <t>研發開支</t>
        </is>
      </c>
      <c r="C63" s="9" t="inlineStr">
        <is>
          <t>medium</t>
        </is>
      </c>
      <c r="D63" s="12" t="inlineStr">
        <is>
          <t>research and development</t>
        </is>
      </c>
      <c r="E63" s="12" t="inlineStr">
        <is>
          <t>PDF p.77 (印刷頁 76)</t>
        </is>
      </c>
      <c r="F63" s="12" t="inlineStr">
        <is>
          <t>vice quality 產品責任 客戶服務質量 14. Product/service quality and safety 產品╱服務質量和安全 15. Personal data privacy protection 個人資料隱私保護 16. Product research and development 產品研發 17. Intellectual property rights protection 知識產權保護 18. Data security 數據安全 19. Operational safety management 營運安全管理 B7. Anti-corruption 20. Anti-corruption 反貪污 反貪污 B8. Community investment 21. Community investment and engagement 社區投資 社區投資和參與 76 ANNUAL REPORT 年報 2025/26</t>
        </is>
      </c>
    </row>
    <row r="64">
      <c r="A64" s="9" t="inlineStr">
        <is>
          <t>Segment Information</t>
        </is>
      </c>
      <c r="B64" s="9" t="inlineStr">
        <is>
          <t>分部資料</t>
        </is>
      </c>
      <c r="C64" s="9" t="inlineStr">
        <is>
          <t>medium</t>
        </is>
      </c>
      <c r="D64" s="12" t="inlineStr">
        <is>
          <t>operating segment</t>
        </is>
      </c>
      <c r="E64" s="12" t="inlineStr">
        <is>
          <t>PDF p.49 (印刷頁 48)</t>
        </is>
      </c>
      <c r="F64" s="12" t="inlineStr">
        <is>
          <t>e consolidated financial statements. An analysis of the Group’s performance for the year ended 31 有關本集團於截至二零二六年三月三十一日止 March 2026 by operating segment is set out in note 7 to the 年度按經營分部進行之表現分析載於綜合財務 consolidated financial statements. 報表附註7。 RESULTS AND DIVIDEND 業績及股息 The Group’s results for the year ended 31 March 2026 are set 本集團截至二零二六年三月三十一日止年度之 out in the consolidated statement of profit or loss on page 業績載於第106頁之綜合損益表。本公司董事並 106. The Directors of the Company do not recommend the 不建議派付截至二零二六年三月三十一日止年 payment of final divide</t>
        </is>
      </c>
    </row>
    <row r="65">
      <c r="A65" s="9" t="inlineStr">
        <is>
          <t>Segment Information</t>
        </is>
      </c>
      <c r="B65" s="9" t="inlineStr">
        <is>
          <t>分部資料</t>
        </is>
      </c>
      <c r="C65" s="9" t="inlineStr">
        <is>
          <t>medium</t>
        </is>
      </c>
      <c r="D65" s="12" t="inlineStr">
        <is>
          <t>geographical</t>
        </is>
      </c>
      <c r="E65" s="12" t="inlineStr">
        <is>
          <t>PDF p.89 (印刷頁 88)</t>
        </is>
      </c>
      <c r="F65" s="12" t="inlineStr">
        <is>
          <t>OVERNANCE REPORT 環境、社會及管治報告 The composition of the Group’s workforce by employment type, 本集團按僱傭類別、性別、年齡組別及地理區域 gender, age group and geographical region is set out below: 劃分的員工組成情況載列如下： FY2026 FY2025 二零二六財年 二零二五財年 Total workforce Total 97 102 員工總數 總數 By employment type Full time 82 99 按僱傭類別劃分 全職 Part time 15 3 兼職 By gender Male 46 60 按性別劃分 男性 Female 51 42 女性 By age group 30 or below 40 59 按年齡組別劃分 30歲或以下 31–40 29 17 31歲至40歲 41–50 14 16 41歲至50歲 51–60 10 7 51歲至60歲 Above 60 4 3 60歲以上 By employee category Management 15 13 按僱員類別劃分 管理</t>
        </is>
      </c>
    </row>
    <row r="66">
      <c r="A66" s="9" t="inlineStr">
        <is>
          <t>Segment Information</t>
        </is>
      </c>
      <c r="B66" s="9" t="inlineStr">
        <is>
          <t>分部資料</t>
        </is>
      </c>
      <c r="C66" s="9" t="inlineStr">
        <is>
          <t>medium</t>
        </is>
      </c>
      <c r="D66" s="12" t="inlineStr">
        <is>
          <t>geographical</t>
        </is>
      </c>
      <c r="E66" s="12" t="inlineStr">
        <is>
          <t>PDF p.90 (印刷頁 89)</t>
        </is>
      </c>
      <c r="F66" s="12" t="inlineStr">
        <is>
          <t>r below 145.00% 10.17% 按年齡組別劃分 30歲或以下 31–40 27.59% 5.88% 31歲至40歲 41–50 28.57% – 41歲至50歲 51–60 10.00% – 51歲至60歲 Above 60 – – 60歲以上 By geographical regions Mainland China 85.33% 6.17% 按地理區域劃分 中國內地 Hong Kong 31.82% 9.52% 香港 6 The employee turnover rate is calculated by the total number of employees that left during the Year divided by the total number of employees under respective categories as of 31 March. 僱員流失率是以本年度離職僱員總數除以截至三月三十一日止相應類別的僱員總數計算。 7 The employee turnover rate for the Year was relatively high due to business adjustm</t>
        </is>
      </c>
    </row>
    <row r="67">
      <c r="A67" s="9" t="inlineStr">
        <is>
          <t>Segment Information</t>
        </is>
      </c>
      <c r="B67" s="9" t="inlineStr">
        <is>
          <t>分部資料</t>
        </is>
      </c>
      <c r="C67" s="9" t="inlineStr">
        <is>
          <t>medium</t>
        </is>
      </c>
      <c r="D67" s="12" t="inlineStr">
        <is>
          <t>geographical</t>
        </is>
      </c>
      <c r="E67" s="12" t="inlineStr">
        <is>
          <t>PDF p.96 (印刷頁 95)</t>
        </is>
      </c>
      <c r="F67" s="12" t="inlineStr">
        <is>
          <t>roducts involving brand agencies, suppliers must provide the authorised agent certificate from the original brand manufacturers. The geographical distribution of the Group’s suppliers is as 本集團的供應商按地區分佈如下： follows: Geographical region Number of major suppliers 地區 主要供應商數目 FY2026 FY2025 二零二六財年 二零二五財年 Mainland China 26 2 中國內地 Hong Kong 1 1 香港 Total 27 3 總數 During the Year, the Group did not identify any potential risks 本年度，本集團未發現任何可能對商業道德、環 that could have a negative impact on business ethics, 境保護、人權及勞工待遇造成負面影響的潛在風 environmental p</t>
        </is>
      </c>
    </row>
    <row r="68">
      <c r="A68" s="9" t="inlineStr">
        <is>
          <t>Segment Information</t>
        </is>
      </c>
      <c r="B68" s="9" t="inlineStr">
        <is>
          <t>分部資料</t>
        </is>
      </c>
      <c r="C68" s="9" t="inlineStr">
        <is>
          <t>medium</t>
        </is>
      </c>
      <c r="D68" s="12" t="inlineStr">
        <is>
          <t>segment information</t>
        </is>
      </c>
      <c r="E68" s="12" t="inlineStr">
        <is>
          <t>PDF p.171 (印刷頁 170)</t>
        </is>
      </c>
      <c r="F68" s="12" t="inlineStr">
        <is>
          <t>ed cost are not 工具之賬面值與其於二零二六 materially different from their fair values as at 年及二零二五年三月三十一日 31 March 2026 and 2025. 之公平值並無重大差異。 7. SEGMENT INFORMATION 7. 分部資料 Management has determined the operating segments 管理層根據執行董事所審閱用於作策略決 based on the reports reviewed by the executive directors 策之報告釐定經營分部。本集團經營業務 that are used to make strategic decisions. The Group’s 根據業務性質分類及單獨管理。 operating businesses are structured and managed separately according to the nature of their operations. For management purposes, the Group is organised into 就</t>
        </is>
      </c>
    </row>
    <row r="69">
      <c r="A69" s="9" t="inlineStr">
        <is>
          <t>Segment Information</t>
        </is>
      </c>
      <c r="B69" s="9" t="inlineStr">
        <is>
          <t>分部資料</t>
        </is>
      </c>
      <c r="C69" s="9" t="inlineStr">
        <is>
          <t>medium</t>
        </is>
      </c>
      <c r="D69" s="12" t="inlineStr">
        <is>
          <t>segment information</t>
        </is>
      </c>
      <c r="E69" s="12" t="inlineStr">
        <is>
          <t>PDF p.172 (印刷頁 171)</t>
        </is>
      </c>
      <c r="F69" s="12" t="inlineStr">
        <is>
          <t>NOTES TO THE CONSOLIDATED FINANCIAL STATEMENTS 綜合財務報表附註 For the Year ended 31 March 2026 截至二零二六年三月三十一日止年度 7. SEGMENT INFORMATION (Continued) 7. 分部資料（續） The following is an analysis of the Group’s revenue, 下表按可呈報及經營分部分析本集團之收 results, assets and liabilities by reportable and operating 益、業績、資產及負債。 segment. Year ended 31 March 2026 Year ended 31 March 2025 截至二零二六年三月三十一日止年度 截至二零二五年三月三十一日止年度 Filmed Filmed Cinema entertainment, Cinema entertainment, investment new media investment new media and exploitations an</t>
        </is>
      </c>
    </row>
    <row r="70">
      <c r="A70" s="9" t="inlineStr">
        <is>
          <t>Segment Information</t>
        </is>
      </c>
      <c r="B70" s="9" t="inlineStr">
        <is>
          <t>分部資料</t>
        </is>
      </c>
      <c r="C70" s="9" t="inlineStr">
        <is>
          <t>medium</t>
        </is>
      </c>
      <c r="D70" s="12" t="inlineStr">
        <is>
          <t>segment information</t>
        </is>
      </c>
      <c r="E70" s="12" t="inlineStr">
        <is>
          <t>PDF p.173 (印刷頁 172)</t>
        </is>
      </c>
      <c r="F70" s="12" t="inlineStr">
        <is>
          <t>NOTES TO THE CONSOLIDATED FINANCIAL STATEMENTS 綜合財務報表附註 For the Year ended 31 March 2026 截至二零二六年三月三十一日止年度 7. SEGMENT INFORMATION (Continued) 7. 分部資料（續） For the purposes of monitoring segment information and 就監察分部資料及分部間分配資源而言： allocating resources between segment: — all assets are allocated to reportable segments other — 所有資產分配至可呈報分部，惟於一 than interests in an associate and unallocated 間聯營公司的權益及未分配企業資 corporate assets. 產除外。 — all liabilities are allocated to reportable segments — 所有負債分配至可呈報分部，惟可換 other than</t>
        </is>
      </c>
    </row>
    <row r="71">
      <c r="A71" s="9" t="inlineStr">
        <is>
          <t>Segment Information</t>
        </is>
      </c>
      <c r="B71" s="9" t="inlineStr">
        <is>
          <t>分部資料</t>
        </is>
      </c>
      <c r="C71" s="9" t="inlineStr">
        <is>
          <t>medium</t>
        </is>
      </c>
      <c r="D71" s="12" t="inlineStr">
        <is>
          <t>segment information</t>
        </is>
      </c>
      <c r="E71" s="12" t="inlineStr">
        <is>
          <t>PDF p.174 (印刷頁 173)</t>
        </is>
      </c>
      <c r="F71" s="12" t="inlineStr">
        <is>
          <t>NOTES TO THE CONSOLIDATED FINANCIAL STATEMENTS 綜合財務報表附註 For the Year ended 31 March 2026 截至二零二六年三月三十一日止年度 7. SEGMENT INFORMATION (Continued) 7. 分部資料（續） Other segment information (Continued): 其他分部資料（續）： Year ended 31 March 2025 截至二零二五年三月三十一日止年度 Filmed Cinema entertainment, investment new media and exploitations management and licensing Corporate business businesses level Total 電影娛樂、 影院投資及 新媒體開發及 管理業務 特許權業務 企業層面 總計 HK$’000 HK$’000 HK$’000 HK$’000 千港元 千港元 千港元 千港元 Additions to property, plant and 物業、廠房及設備添置</t>
        </is>
      </c>
    </row>
    <row r="72">
      <c r="A72" s="9" t="inlineStr">
        <is>
          <t>Segment Information</t>
        </is>
      </c>
      <c r="B72" s="9" t="inlineStr">
        <is>
          <t>分部資料</t>
        </is>
      </c>
      <c r="C72" s="9" t="inlineStr">
        <is>
          <t>medium</t>
        </is>
      </c>
      <c r="D72" s="12" t="inlineStr">
        <is>
          <t>segment information</t>
        </is>
      </c>
      <c r="E72" s="12" t="inlineStr">
        <is>
          <t>PDF p.175 (印刷頁 174)</t>
        </is>
      </c>
      <c r="F72" s="12" t="inlineStr">
        <is>
          <t>NOTES TO THE CONSOLIDATED FINANCIAL STATEMENTS 綜合財務報表附註 For the Year ended 31 March 2026 截至二零二六年三月三十一日止年度 7. SEGMENT INFORMATION (Continued) 7. 分部資料（續） Geographical information: 地區資料： The Group mainly operates in Hong Kong and the People’s 本集團主要於香港及中華人民共和國（「中 Republic of China (the “PRC”). The geographical location of 國」）經營業務。客戶之地域位置按客戶所 customers is based on the location of the customers, 在地劃分，而不論貨品或服務來源。非流動 irrespective of the origin of the goods or services. The 資產之地域位置，就物業、廠房及設備及使 geographical locati</t>
        </is>
      </c>
    </row>
    <row r="73">
      <c r="A73" s="9" t="inlineStr">
        <is>
          <t>Segment Information</t>
        </is>
      </c>
      <c r="B73" s="9" t="inlineStr">
        <is>
          <t>分部資料</t>
        </is>
      </c>
      <c r="C73" s="9" t="inlineStr">
        <is>
          <t>medium</t>
        </is>
      </c>
      <c r="D73" s="12" t="inlineStr">
        <is>
          <t>segment information</t>
        </is>
      </c>
      <c r="E73" s="12" t="inlineStr">
        <is>
          <t>PDF p.176 (印刷頁 175)</t>
        </is>
      </c>
      <c r="F73" s="12" t="inlineStr">
        <is>
          <t>NOTES TO THE CONSOLIDATED FINANCIAL STATEMENTS 綜合財務報表附註 For the Year ended 31 March 2026 截至二零二六年三月三十一日止年度 7. SEGMENT INFORMATION (Continued) 7. 分部資料（續） Revenue from major customers: 來自主要客戶之收益： Revenue from customers contributing over 10% of the 截至二零二六年及二零二五年三月三十一 total revenue of the Group for the years ended 31 March 日止年度，貢獻本集團總收益10% 以上的 2026 and 2025 are as follows: 客戶的收益如下： 2026 2025 二零二六年 二零二五年 HK$’000 HK$’000 千港元 千港元 Customer A 客戶A 6,273 4,864 Customer B 客戶B 10,021 3,268 Customer C 客戶C 8,507 – Custo</t>
        </is>
      </c>
    </row>
    <row r="74">
      <c r="A74" s="9" t="inlineStr">
        <is>
          <t>Share-based Payment</t>
        </is>
      </c>
      <c r="B74" s="9" t="inlineStr">
        <is>
          <t>以股份為基礎的付款</t>
        </is>
      </c>
      <c r="C74" s="9" t="inlineStr">
        <is>
          <t>medium</t>
        </is>
      </c>
      <c r="D74" s="12" t="inlineStr">
        <is>
          <t>share option</t>
        </is>
      </c>
      <c r="E74" s="12" t="inlineStr">
        <is>
          <t>PDF p.14 (印刷頁 13)</t>
        </is>
      </c>
      <c r="F74" s="12" t="inlineStr">
        <is>
          <t>025: Nil). Approximately 3.7 million shares of the Company 股股份。 were issued and allotted during the Year, as a result of exercise of share options. SIGNIFICANT INVESTMENT 重大投資 On 20 May 2025, the Group invested RMB7 million (equivalent 於二零二五年五月二十日，本集團向根據中國法 to approximately HK$7.9 million) in Hangzhou Jiyi Artificial 律成立的有限公司杭州極逸人工智能科技有限 Intelligence Technology Company Limited ( 杭州極逸人工智能科 公司（「杭州極逸」）投資人民幣7,000,000元 技有限公司) (“HZ Jiyi”), a company established under the laws （相當於約7,900,000港元）。杭州極逸主要從 of the PRC with limited liabilit</t>
        </is>
      </c>
    </row>
    <row r="75">
      <c r="A75" s="9" t="inlineStr">
        <is>
          <t>Share-based Payment</t>
        </is>
      </c>
      <c r="B75" s="9" t="inlineStr">
        <is>
          <t>以股份為基礎的付款</t>
        </is>
      </c>
      <c r="C75" s="9" t="inlineStr">
        <is>
          <t>medium</t>
        </is>
      </c>
      <c r="D75" s="12" t="inlineStr">
        <is>
          <t>購股權</t>
        </is>
      </c>
      <c r="E75" s="12" t="inlineStr">
        <is>
          <t>PDF p.36 (印刷頁 35)</t>
        </is>
      </c>
      <c r="F75" s="12" t="inlineStr">
        <is>
          <t>ements of the Group’s executive remuneration 本集團之行政人員薪酬組合主要包括基本薪金、 package include basic salary, discretionary bonus, and share 酌情花紅及購股權。 options. BINGO GROUP HOLDINGS LIMITED 35 比高集團控股有限公司</t>
        </is>
      </c>
    </row>
    <row r="76">
      <c r="A76" s="9" t="inlineStr">
        <is>
          <t>Share-based Payment</t>
        </is>
      </c>
      <c r="B76" s="9" t="inlineStr">
        <is>
          <t>以股份為基礎的付款</t>
        </is>
      </c>
      <c r="C76" s="9" t="inlineStr">
        <is>
          <t>medium</t>
        </is>
      </c>
      <c r="D76" s="12" t="inlineStr">
        <is>
          <t>share option</t>
        </is>
      </c>
      <c r="E76" s="12" t="inlineStr">
        <is>
          <t>PDF p.51 (印刷頁 50)</t>
        </is>
      </c>
      <c r="F76" s="12" t="inlineStr">
        <is>
          <t>DIRECTORS’ REPORT 董事會報告 EQUITY-LINKED ARRANGEMENTS 與權益掛鈎之安排 The Company operates a share option scheme for the purpose 本公司設有一項購股權計劃，旨在獎勵及回報合 of providing incentives and rewards to eligible participants who 資格參與者對本公司業務成功作出之貢獻。購股 contribute to the success of the Company’s operations. Details 權計劃安排之詳情可參閱本董事會報告「購股權 of the share option scheme arrangement can be referred to 計劃」一節及綜合財務報表附註34及36。 the “Share Option Scheme” section in this Directors’ report and notes 34 and 36 to the cons</t>
        </is>
      </c>
    </row>
    <row r="77">
      <c r="A77" s="9" t="inlineStr">
        <is>
          <t>Share-based Payment</t>
        </is>
      </c>
      <c r="B77" s="9" t="inlineStr">
        <is>
          <t>以股份為基礎的付款</t>
        </is>
      </c>
      <c r="C77" s="9" t="inlineStr">
        <is>
          <t>medium</t>
        </is>
      </c>
      <c r="D77" s="12" t="inlineStr">
        <is>
          <t>share option</t>
        </is>
      </c>
      <c r="E77" s="12" t="inlineStr">
        <is>
          <t>PDF p.52 (印刷頁 51)</t>
        </is>
      </c>
      <c r="F77" s="12" t="inlineStr">
        <is>
          <t>諾及╱或不會以任何 or in no way obligate the Group to declare a dividend at any 方式令本集團有責任隨時或不時宣派股息。 time or from time to time. SHARE CAPITAL, SHARE OPTIONS AND CONVERTIBLE 股本、購股權及可換股債券 BONDS Details of movements in either the Company’s convertible 於本年度，有關本公司可換股債券、股本及購股 bonds, share capital and share options during the Year are set 權之變動詳情分別載於綜合財務報表附註31、 out in notes 31, 32 and 34 to the consolidated financial 32及34。 statements respectively. PURCHASE, REDEMPTION OR SALE OF LISTED SECURITIES 購買、贖回或出售本公司上市證券 OF THE COMPANY Neither the Compa</t>
        </is>
      </c>
    </row>
    <row r="78">
      <c r="A78" s="9" t="inlineStr">
        <is>
          <t>Share-based Payment</t>
        </is>
      </c>
      <c r="B78" s="9" t="inlineStr">
        <is>
          <t>以股份為基礎的付款</t>
        </is>
      </c>
      <c r="C78" s="9" t="inlineStr">
        <is>
          <t>medium</t>
        </is>
      </c>
      <c r="D78" s="12" t="inlineStr">
        <is>
          <t>share option</t>
        </is>
      </c>
      <c r="E78" s="12" t="inlineStr">
        <is>
          <t>PDF p.56 (印刷頁 55)</t>
        </is>
      </c>
      <c r="F78" s="12" t="inlineStr">
        <is>
          <t>ons in the underlying shares of the (b) 於本公司相關股份之好倉 Company Please refer to page 61 of this annual report for the 有關董事於二零二六年三月三十一日持有 share options held by the Directors as at 31 March 的購股權，請參閱本年報第61頁。 2026. Pursuant to a subscription and settlement agreement and 根據周星馳先生（「周先生」）與本公司分別 the supplemental agreement entered into between Mr. 於二零二一年十二月七日及二零二一年 CHIAU Sing Chi (“Mr. Chiau”) and the Company on 7 十二月二十八日訂立的認購及清償協議和 December 2021 and 28 December 2021 respectively, 補充協議，於二零二六年三月三十一日，已 the convertible bonds in principal of HK$</t>
        </is>
      </c>
    </row>
    <row r="79">
      <c r="A79" s="9" t="inlineStr">
        <is>
          <t>Share-based Payment</t>
        </is>
      </c>
      <c r="B79" s="9" t="inlineStr">
        <is>
          <t>以股份為基礎的付款</t>
        </is>
      </c>
      <c r="C79" s="9" t="inlineStr">
        <is>
          <t>medium</t>
        </is>
      </c>
      <c r="D79" s="12" t="inlineStr">
        <is>
          <t>share option</t>
        </is>
      </c>
      <c r="E79" s="12" t="inlineStr">
        <is>
          <t>PDF p.58 (印刷頁 57)</t>
        </is>
      </c>
      <c r="F79" s="12" t="inlineStr">
        <is>
          <t>DIRECTORS’ REPORT 董事會報告 SHARE OPTION SCHEME 購股權計劃 Pursuant to resolution passed on 15 August 2012, a share 根據於二零一二年八月十五日通過之決議案，本 option scheme (the “Old Scheme”) was adopted for the primary 公司就主要鼓勵為本集團作出貢獻的董事、合資 purpose of providing incentives to directors, eligible employees 格僱員及參與者採納購股權計劃（「舊計劃」）， and participants who have contributed to the Group, and had 有關計劃已於二零二二年八月十四日屆滿。根據 expired on 14 August 2022. Under the Old S</t>
        </is>
      </c>
    </row>
    <row r="80">
      <c r="A80" s="9" t="inlineStr">
        <is>
          <t>Share-based Payment</t>
        </is>
      </c>
      <c r="B80" s="9" t="inlineStr">
        <is>
          <t>以股份為基礎的付款</t>
        </is>
      </c>
      <c r="C80" s="9" t="inlineStr">
        <is>
          <t>medium</t>
        </is>
      </c>
      <c r="D80" s="12" t="inlineStr">
        <is>
          <t>購股權</t>
        </is>
      </c>
      <c r="E80" s="12" t="inlineStr">
        <is>
          <t>PDF p.59 (印刷頁 58)</t>
        </is>
      </c>
      <c r="F80" s="12" t="inlineStr">
        <is>
          <t>ereas the Employee Participant(s) 董事（不包括獨立非執行董事）及僱員（不論全 mean the director(s) (excluding the independent non-executive 職或兼職）（包括根據新計劃獲授購股權作為與 Directors) and employee(s) (whether full-time or part-time) of 本集團訂立僱傭合約的獎勵的人士），而服務供 any member of the Group (including persons who are granted 應商指在其日常及一般業務過程中持續或經常 Options under the New Scheme as inducement to enter into 性地向本集團任何成員公司提供符合本集團長 employment contracts with the Group) and the Service 期增長利益的服務的諮詢人或顧問：(i) 其服務的 Providers mean consultant or adviser who provides services to 連續性及頻率與本集團</t>
        </is>
      </c>
    </row>
    <row r="81">
      <c r="A81" s="9" t="inlineStr">
        <is>
          <t>Share-based Payment</t>
        </is>
      </c>
      <c r="B81" s="9" t="inlineStr">
        <is>
          <t>以股份為基礎的付款</t>
        </is>
      </c>
      <c r="C81" s="9" t="inlineStr">
        <is>
          <t>medium</t>
        </is>
      </c>
      <c r="D81" s="12" t="inlineStr">
        <is>
          <t>share option</t>
        </is>
      </c>
      <c r="E81" s="12" t="inlineStr">
        <is>
          <t>PDF p.60 (印刷頁 59)</t>
        </is>
      </c>
      <c r="F81" s="12" t="inlineStr">
        <is>
          <t>he absence of 由董事會酌情決定，倘董事會並無酌情決定，則 which, from the date of acceptance to the earlier of the date 由接納日期起至有關購股權失效日期及要約日 on which such share option lapses and 10 years from the date 期起計10年（以較早者為準）止。 of offer. Vesting period of options granted under the New Scheme 根據新計劃授出購股權之歸屬期 Subject to the discretion by the Board. 由董事會酌情決定。 Amount payable on acceptance 接納時應付金額 Acceptance of the option must be made within 21 days from 接納購股權須於要約日期起計21日內作出，並 the date of offer and HK$1.00 must be paid as a consideration 須支付1.00港元作為授出購股權的代價。 for th</t>
        </is>
      </c>
    </row>
    <row r="82">
      <c r="A82" s="9" t="inlineStr">
        <is>
          <t>Share-based Payment</t>
        </is>
      </c>
      <c r="B82" s="9" t="inlineStr">
        <is>
          <t>以股份為基礎的付款</t>
        </is>
      </c>
      <c r="C82" s="9" t="inlineStr">
        <is>
          <t>medium</t>
        </is>
      </c>
      <c r="D82" s="12" t="inlineStr">
        <is>
          <t>購股權</t>
        </is>
      </c>
      <c r="E82" s="12" t="inlineStr">
        <is>
          <t>PDF p.61 (印刷頁 60)</t>
        </is>
      </c>
      <c r="F82" s="12" t="inlineStr">
        <is>
          <t>nd effective until 9 February 2034, 計劃直至二零三四年二月九日前將一直有效及 after which no further options will be granted but the provisions 生效，其後將不再授出購股權，惟計劃的條文於 of the scheme shall remain in full force and effect in all other 所有其他方面仍具十足效力。於計劃期間授出之 respects. Options complying with the provisions of the GEM 符合GEM 上市規則條文但於緊接二零三四年二 Listing Rules which are granted during the duration of the 月九日前仍未行使之購股權將可根據其授出條 scheme and remain unexercised immediately prior to 9 款繼續行使，不論新計劃是否已屆滿。 February 2034 shall continue to be exercisable in accordance with th</t>
        </is>
      </c>
    </row>
    <row r="83">
      <c r="A83" s="9" t="inlineStr">
        <is>
          <t>Share-based Payment</t>
        </is>
      </c>
      <c r="B83" s="9" t="inlineStr">
        <is>
          <t>以股份為基礎的付款</t>
        </is>
      </c>
      <c r="C83" s="9" t="inlineStr">
        <is>
          <t>medium</t>
        </is>
      </c>
      <c r="D83" s="12" t="inlineStr">
        <is>
          <t>購股權</t>
        </is>
      </c>
      <c r="E83" s="12" t="inlineStr">
        <is>
          <t>PDF p.62 (印刷頁 61)</t>
        </is>
      </c>
      <c r="F83" s="12" t="inlineStr">
        <is>
          <t>DIRECTORS’ REPORT 董事會報告 Set out below is the schedule of movement of the Company’s 下文載列本公司購股權於截至二零二六年三月 Options during the year ended 31 March 2026: 三十一日止年度的變動時間表： Number of Number of options held Number of options held as at Number of Number of options as at 1 April options options cancelled/ 31 March Category Option type 2025 granted exercised lapsed 2026 於二零二五年 於二零二六年 四月一日所持 授出之 行使之 註銷╱失效之 三月三十一日 類別 購股權類別 購股權數目 購股權數目 購股權數目 購股權數目 所持購股權數目 (Note 1) (Note 2) (Note 2) (Note 2) （附註1） （附註2</t>
        </is>
      </c>
    </row>
    <row r="84">
      <c r="A84" s="9" t="inlineStr">
        <is>
          <t>Share-based Payment</t>
        </is>
      </c>
      <c r="B84" s="9" t="inlineStr">
        <is>
          <t>以股份為基礎的付款</t>
        </is>
      </c>
      <c r="C84" s="9" t="inlineStr">
        <is>
          <t>medium</t>
        </is>
      </c>
      <c r="D84" s="12" t="inlineStr">
        <is>
          <t>share option</t>
        </is>
      </c>
      <c r="E84" s="12" t="inlineStr">
        <is>
          <t>PDF p.63 (印刷頁 62)</t>
        </is>
      </c>
      <c r="F84" s="12" t="inlineStr">
        <is>
          <t>DIRECTORS’ REPORT 董事會報告 Note 1: Details of specific categories of share options are disclosed in 附註1： 有關特定類別購股權之詳情於綜合財務報表 note 34 to the consolidated financial statements. 附註34披露。 Note 2: The number of share options mentioned are adjusted to reflect 附註2：所述購股權數目經調整以反映二零二二年三 the share consolidation effective on 16 March 2022 (as the 月十六日（視乎情況而定）生效的股份合併。 case may be). The total number of shares of the Company 根據舊計劃及新計劃可予發行的本公司股份 available for issue under the Old Sc</t>
        </is>
      </c>
    </row>
    <row r="85">
      <c r="A85" s="9" t="inlineStr">
        <is>
          <t>Share-based Payment</t>
        </is>
      </c>
      <c r="B85" s="9" t="inlineStr">
        <is>
          <t>以股份為基礎的付款</t>
        </is>
      </c>
      <c r="C85" s="9" t="inlineStr">
        <is>
          <t>medium</t>
        </is>
      </c>
      <c r="D85" s="12" t="inlineStr">
        <is>
          <t>share option</t>
        </is>
      </c>
      <c r="E85" s="12" t="inlineStr">
        <is>
          <t>PDF p.64 (印刷頁 63)</t>
        </is>
      </c>
      <c r="F85" s="12" t="inlineStr">
        <is>
          <t>ND 除上文標題為「董事及最高行政人員於股份及相 CHIEF EXECUTIVES’ INTERESTS AND SHORT POSITIONS IN 關股份之權益及淡倉」及「購股權計劃」兩節所 SHARES AND UNDERLYING SHARES” and “SHARE OPTION 披露者外，概無董事或本集團之僱員或彼等之聯 SCHEME” above, none of the Directors or employees of the 繫人士獲本公司或其附屬公司授予權利購入本 Group or their associates were granted by the Company or its 公司或任何其他法人團體之股份或債券，或於二 subsidiaries the rights to acquire shares or debentures of the 零二六年三月三十一日已行使任何該等權利。 Company or any other body corporate, or had exercised any such rights as at 31 March 2026. REMUNERATION POLICY 薪酬政策 The</t>
        </is>
      </c>
    </row>
    <row r="86">
      <c r="A86" s="9" t="inlineStr">
        <is>
          <t>Share-based Payment</t>
        </is>
      </c>
      <c r="B86" s="9" t="inlineStr">
        <is>
          <t>以股份為基礎的付款</t>
        </is>
      </c>
      <c r="C86" s="9" t="inlineStr">
        <is>
          <t>medium</t>
        </is>
      </c>
      <c r="D86" s="12" t="inlineStr">
        <is>
          <t>share-based payment</t>
        </is>
      </c>
      <c r="E86" s="12" t="inlineStr">
        <is>
          <t>PDF p.107 (印刷頁 106)</t>
        </is>
      </c>
      <c r="F86" s="12" t="inlineStr">
        <is>
          <t>支 (2,736) (820) Administrative expenses 行政開支 (39,588) (20,244) Loss on disposal of property, plant 出售物業、廠房及設備之虧損 and equipment (1) – Share-based payment 以股份為基礎之付款 (1,531) (4,591) Impairment of right-of-use assets 使用權資產減值 19 (1,069) – Impairment of other receivables 其他應收款項減值 – (213) Share of result of an associate 分佔一間聯營公司業績 – (1) Change in fair value of financial assets 透過損益按公平值列賬之 at fair value through profit or loss 金融資產公平值變動 3,964 – Finance costs 融資成本 10 (1,942) (2,320) Loss before taxation 除稅前虧損 11 (23,541) (21,792) Taxatio</t>
        </is>
      </c>
    </row>
    <row r="87">
      <c r="A87" s="9" t="inlineStr">
        <is>
          <t>Share-based Payment</t>
        </is>
      </c>
      <c r="B87" s="9" t="inlineStr">
        <is>
          <t>以股份為基礎的付款</t>
        </is>
      </c>
      <c r="C87" s="9" t="inlineStr">
        <is>
          <t>medium</t>
        </is>
      </c>
      <c r="D87" s="12" t="inlineStr">
        <is>
          <t>share-based payment</t>
        </is>
      </c>
      <c r="E87" s="12" t="inlineStr">
        <is>
          <t>PDF p.111 (印刷頁 110)</t>
        </is>
      </c>
      <c r="F87" s="12" t="inlineStr">
        <is>
          <t>– – 263 – 263 56 319 Total comprehensive loss for the year 本年度全面虧損總額 – – – – – 263 (21,447) (21,184) (1,759) (22,943) Recognition of share-based payment 確認以股份為基礎之付款 – – – – 4,591 – – 4,591 – 4,591 Capital contribution from non- 非控股權益注資 controlling interests – – – – – – – – 542 542 At 31 March 2025 and 1 April 2025 於二零二五年 三月三十一日及 二零二五年四月一日 10,265 424,560 132,237 8,743 6,056 (1,164) (609,556) (28,859) (2,864) (31,723) Loss for the year 本年度虧損 – – – – – – (25,908) (25,908) (118) (26,026) Other comprehensive loss for the year 本年度其他全</t>
        </is>
      </c>
    </row>
    <row r="88">
      <c r="A88" s="9" t="inlineStr">
        <is>
          <t>Share-based Payment</t>
        </is>
      </c>
      <c r="B88" s="9" t="inlineStr">
        <is>
          <t>以股份為基礎的付款</t>
        </is>
      </c>
      <c r="C88" s="9" t="inlineStr">
        <is>
          <t>medium</t>
        </is>
      </c>
      <c r="D88" s="12" t="inlineStr">
        <is>
          <t>share-based payment</t>
        </is>
      </c>
      <c r="E88" s="12" t="inlineStr">
        <is>
          <t>PDF p.112 (印刷頁 111)</t>
        </is>
      </c>
      <c r="F88" s="12" t="inlineStr">
        <is>
          <t>sult of an associate 分佔一間聯營公司業績 – 1 Lease termination 租約終止 (9) – Loss on disposal of property, plant and 出售物業、廠房及設備之虧損 equipment 1 – Share-based payment 以股份為基礎之付款 1,531 4,591 Provision of long service payment 長期服務金撥備 175 – Operating cash flows before working 營運資金變動前之 capital changes 經營現金流量 (22,273) (14,781) Decrease in inventories 存貨減少 – 17 (Increase)/decrease in trade receivables 應收賬款（增加）╱減少 (1,572) 14 Increase in other receivables, deposits and 其他應收款項、按金及 prepayments 預付款項增加 (7,150) (11,713) Increase in trade payables 應付賬款增加 3</t>
        </is>
      </c>
    </row>
    <row r="89">
      <c r="A89" s="9" t="inlineStr">
        <is>
          <t>Share-based Payment</t>
        </is>
      </c>
      <c r="B89" s="9" t="inlineStr">
        <is>
          <t>以股份為基礎的付款</t>
        </is>
      </c>
      <c r="C89" s="9" t="inlineStr">
        <is>
          <t>medium</t>
        </is>
      </c>
      <c r="D89" s="12" t="inlineStr">
        <is>
          <t>share option</t>
        </is>
      </c>
      <c r="E89" s="12" t="inlineStr">
        <is>
          <t>PDF p.113 (印刷頁 112)</t>
        </is>
      </c>
      <c r="F89" s="12" t="inlineStr">
        <is>
          <t>(171) Capital contribution from non- 非控股權益注資 controlling interests 981 542 Proceeds from shares issued upon 於行使購股權後已發行股份 exercise of share option 之所得款項 3,761 – NET CASH GENERATED FROM/ 融資活動所得╱（所用）之 (USED IN) FINANCING ACTIVITIES 現金淨額 3,106 (952) (DECREASE)/INCREASE IN CASH 現金及現金等值物（減少）╱ AND CASH EQUIVALENTS 增加 (11,864) 26,769 CASH AND CASH EQUIVALENTS AT 年初之現金及現金等值物 THE BEGINNING OF THE YEAR 40,226 13,593 Effect of foreign exchange rate 外匯匯率變動之影響 changes 1,041 (136) CASH AND CASH EQUIVALENTS AT 年終之現金及現金等值物 THE END OF THE YEAR 2</t>
        </is>
      </c>
    </row>
    <row r="90">
      <c r="A90" s="9" t="inlineStr">
        <is>
          <t>Share-based Payment</t>
        </is>
      </c>
      <c r="B90" s="9" t="inlineStr">
        <is>
          <t>以股份為基礎的付款</t>
        </is>
      </c>
      <c r="C90" s="9" t="inlineStr">
        <is>
          <t>medium</t>
        </is>
      </c>
      <c r="D90" s="12" t="inlineStr">
        <is>
          <t>risk-free rate</t>
        </is>
      </c>
      <c r="E90" s="12" t="inlineStr">
        <is>
          <t>PDF p.138 (印刷頁 137)</t>
        </is>
      </c>
      <c r="F90" s="12" t="inlineStr">
        <is>
          <t>term, currency and start date of the lease and 政府債券利率的無風險利率； is determined based on a series of inputs 國家特定風險調整；基於債券 including: the risk-free rate based on 收益率的信貸風險調整；以及 government bond rates; a country-specific risk 一項實體特定調整，該調整視 adjustment; a credit risk adjustment based on 乎訂立租賃的實體的風險狀況 bond yields; and an entity-specific adjustment 是否與本集團不同，以及租賃 whether the risk profile of the entity that enters 是否受益於本集團的擔保而定。 into the lease is different to that of the Group and whether the lease benefit from a guarantee from the Group. Th</t>
        </is>
      </c>
    </row>
    <row r="91">
      <c r="A91" s="9" t="inlineStr">
        <is>
          <t>Share-based Payment</t>
        </is>
      </c>
      <c r="B91" s="9" t="inlineStr">
        <is>
          <t>以股份為基礎的付款</t>
        </is>
      </c>
      <c r="C91" s="9" t="inlineStr">
        <is>
          <t>medium</t>
        </is>
      </c>
      <c r="D91" s="12" t="inlineStr">
        <is>
          <t>share-based payment</t>
        </is>
      </c>
      <c r="E91" s="12" t="inlineStr">
        <is>
          <t>PDF p.148 (印刷頁 147)</t>
        </is>
      </c>
      <c r="F91" s="12" t="inlineStr">
        <is>
          <t>S 綜合財務報表附註 For the Year ended 31 March 2026 截至二零二六年三月三十一日止年度 4. MATERIAL ACCOUNTING POLICY INFORMATION 4. 重大會計政策資料（續） (Continued) m) Share-based payments arrangement m) 以股份為基礎之付款安排 Equity-settled share-based payments transactions 根據權益結算以股份為基礎之付款交易 (i) Share options granted to directors and (i) 向董事及僱員授出購股權 employees Equity-settled share-based payments to 向僱員及提供類似服務的其他 employees and others providing similar services 人士作出根據權益結算以股份 are measured at the fair value of the equity 為基礎之付款按股本工具於授 instruments at the grant date. 出日期的公平值計量。</t>
        </is>
      </c>
    </row>
    <row r="92">
      <c r="A92" s="9" t="inlineStr">
        <is>
          <t>Share-based Payment</t>
        </is>
      </c>
      <c r="B92" s="9" t="inlineStr">
        <is>
          <t>以股份為基礎的付款</t>
        </is>
      </c>
      <c r="C92" s="9" t="inlineStr">
        <is>
          <t>medium</t>
        </is>
      </c>
      <c r="D92" s="12" t="inlineStr">
        <is>
          <t>share-based payment</t>
        </is>
      </c>
      <c r="E92" s="12" t="inlineStr">
        <is>
          <t>PDF p.149 (印刷頁 148)</t>
        </is>
      </c>
      <c r="F92" s="12" t="inlineStr">
        <is>
          <t>S 綜合財務報表附註 For the Year ended 31 March 2026 截至二零二六年三月三十一日止年度 4. MATERIAL ACCOUNTING POLICY INFORMATION 4. 重大會計政策資料（續） (Continued) m) Share-based payments arrangement (Continued) m) 以股份為基礎之付款安排（續） Equity-settled share-based payments transactions 根據權益結算以股份為基礎之付款交易 (Continued) （續） (i) Share options granted to directors and (i) 向董事及僱員授出購股權（續） employees (Continued) When share options are exercised, the amount 當購股權獲行使，先前於購股 previously recognised in share options reserve 權儲備內確認之金額將轉撥至 will be transferred to share premium. When 股份溢價。當購</t>
        </is>
      </c>
    </row>
    <row r="93">
      <c r="A93" s="9" t="inlineStr">
        <is>
          <t>Share-based Payment</t>
        </is>
      </c>
      <c r="B93" s="9" t="inlineStr">
        <is>
          <t>以股份為基礎的付款</t>
        </is>
      </c>
      <c r="C93" s="9" t="inlineStr">
        <is>
          <t>medium</t>
        </is>
      </c>
      <c r="D93" s="12" t="inlineStr">
        <is>
          <t>share-based payment</t>
        </is>
      </c>
      <c r="E93" s="12" t="inlineStr">
        <is>
          <t>PDF p.172 (印刷頁 171)</t>
        </is>
      </c>
      <c r="F93" s="12" t="inlineStr">
        <is>
          <t>ate income 未分配企業收入 209 142 Unallocated corporate expenses 未分配企業開支 (20,243) (12,366) Share of result of an associate 分佔一間聯營公司業績 – (1) Share-based payments 以股份為基礎之付款 (1,531) (4,591) Finance costs 融資成本 (1,942) (2,320) Loss before taxation 除稅前虧損 (23,541) (21,792) Segment Assets 分部資產 Reportable segment assets 可呈報分部資產 1,191 61,632 62,823 1,491 46,478 47,969 Interests in an associate 於一間聯營公司的權益 14 14 Unallocated corporate assets 未分配企業資產 6,032 5,405 Consolidated total assets 綜合資產總值 68,869 53,388 Segment Liabilities 分部負債 Reportable segm</t>
        </is>
      </c>
    </row>
    <row r="94">
      <c r="A94" s="9" t="inlineStr">
        <is>
          <t>Share-based Payment</t>
        </is>
      </c>
      <c r="B94" s="9" t="inlineStr">
        <is>
          <t>以股份為基礎的付款</t>
        </is>
      </c>
      <c r="C94" s="9" t="inlineStr">
        <is>
          <t>medium</t>
        </is>
      </c>
      <c r="D94" s="12" t="inlineStr">
        <is>
          <t>share-based payment</t>
        </is>
      </c>
      <c r="E94" s="12" t="inlineStr">
        <is>
          <t>PDF p.179 (印刷頁 178)</t>
        </is>
      </c>
      <c r="F94" s="12" t="inlineStr">
        <is>
          <t>875 399 Staff costs (including directors’ 員工成本（包括董事酬金） remuneration) — Salaries and allowances — 薪金及津貼 19,467 7,392 — Equity settled share-based payments — 根據權益結算以股份為 基礎之付款 613 1,839 — Retirement scheme contributions — 退休計劃供款 1,235 730 — Provision for long service payment — 長期服務金撥備 175 – Equity settled share-based payments 已付顧問的根據權益結算 paid to advisors 以股份為基礎之付款 918 2,752 note: 附註： 1. The direct expenses mainly represent the profit sharing 1. 直接開支主要指已付電影供應商的溢利 paid to film providers. 分成。 178 ANNUAL REPORT 年報 2025/26</t>
        </is>
      </c>
    </row>
    <row r="95">
      <c r="A95" s="9" t="inlineStr">
        <is>
          <t>Share-based Payment</t>
        </is>
      </c>
      <c r="B95" s="9" t="inlineStr">
        <is>
          <t>以股份為基礎的付款</t>
        </is>
      </c>
      <c r="C95" s="9" t="inlineStr">
        <is>
          <t>medium</t>
        </is>
      </c>
      <c r="D95" s="12" t="inlineStr">
        <is>
          <t>購股權</t>
        </is>
      </c>
      <c r="E95" s="12" t="inlineStr">
        <is>
          <t>PDF p.187 (印刷頁 186)</t>
        </is>
      </c>
      <c r="F95" s="12" t="inlineStr">
        <is>
          <t>ions granted by the Company and conversion of the 三十一日止年度每股攤薄虧損時已撇除假 Company’s outstanding convertible bonds are excluded in 設本公司已授出之購股權獲行使及本公司 calculating the diluted loss per share during the years 尚未行使之可換股債券獲兌換而增加之股 ended 31 March 2026 and 2025 because they are 份，原因為其對計算每股攤薄虧損具反攤 antidilutive in calculating the diluted loss per share. 薄效應。 186 ANNUAL REPORT 年報 2025/26</t>
        </is>
      </c>
    </row>
    <row r="96">
      <c r="A96" s="9" t="inlineStr">
        <is>
          <t>Share-based Payment</t>
        </is>
      </c>
      <c r="B96" s="9" t="inlineStr">
        <is>
          <t>以股份為基礎的付款</t>
        </is>
      </c>
      <c r="C96" s="9" t="inlineStr">
        <is>
          <t>medium</t>
        </is>
      </c>
      <c r="D96" s="12" t="inlineStr">
        <is>
          <t>share option</t>
        </is>
      </c>
      <c r="E96" s="12" t="inlineStr">
        <is>
          <t>PDF p.207 (印刷頁 206)</t>
        </is>
      </c>
      <c r="F96" s="12" t="inlineStr">
        <is>
          <t>HK$0.1 each 每股面值0.1港元的普通股 Issued and fully paid: 已發行及繳足： At the beginning of the year 於年初 102,645 10,265 102,645 10,265 Exercise of share options (note 36) 行使購股權（附註36） 3,651 365 – – At the end of the year 於年末 106,296 10,630 102,645 10,265 Share option scheme 購股權計劃 Details of the Company’s share option scheme and the 本公司購股權計劃及根據購股權計劃授出 share options granted under the share option scheme are 的購股權的詳情載於綜合財務報表附註 included in Note 36 to the consolidated financial 36。 statements. Capital management 資本管理 Capital comprises of share capi</t>
        </is>
      </c>
    </row>
    <row r="97">
      <c r="A97" s="9" t="inlineStr">
        <is>
          <t>Share-based Payment</t>
        </is>
      </c>
      <c r="B97" s="9" t="inlineStr">
        <is>
          <t>以股份為基礎的付款</t>
        </is>
      </c>
      <c r="C97" s="9" t="inlineStr">
        <is>
          <t>medium</t>
        </is>
      </c>
      <c r="D97" s="12" t="inlineStr">
        <is>
          <t>share option</t>
        </is>
      </c>
      <c r="E97" s="12" t="inlineStr">
        <is>
          <t>PDF p.208 (印刷頁 207)</t>
        </is>
      </c>
      <c r="F97" s="12" t="inlineStr">
        <is>
          <t>24,560 130,295 8,743 6,056 (625,978) (56,324) Loss for the year 年度虧損 – – – – (15,249) (15,249) Issue of new shares under 根據購股權計劃發行新股 share option scheme 5,492 – – (2,096) – 3,396 Recognition of share-based 確認以股份為基礎之付款 payment – – – 1,531 – 1,531 At 31 March 2026 於二零二六年三月三十一日 430,052 130,295 8,743 5,491 (641,227) (66,646) BINGO GROUP HOLDINGS LIMITED 207 比高集團控股有限公司</t>
        </is>
      </c>
    </row>
    <row r="98">
      <c r="A98" s="9" t="inlineStr">
        <is>
          <t>Share-based Payment</t>
        </is>
      </c>
      <c r="B98" s="9" t="inlineStr">
        <is>
          <t>以股份為基礎的付款</t>
        </is>
      </c>
      <c r="C98" s="9" t="inlineStr">
        <is>
          <t>medium</t>
        </is>
      </c>
      <c r="D98" s="12" t="inlineStr">
        <is>
          <t>share option</t>
        </is>
      </c>
      <c r="E98" s="12" t="inlineStr">
        <is>
          <t>PDF p.209 (印刷頁 208)</t>
        </is>
      </c>
      <c r="F98" s="12" t="inlineStr">
        <is>
          <t>公司股份面 acquired by the Company and the nominal value of the 值間之差額。 shares of the Company at the time of the Group reorganisation. 34. SHARE OPTION SCHEME 34. 購股權計劃 Pursuant to a resolution passed on 15 August 2012, a 根據於二零一二年八月十五日通過之決議 share option scheme (the “Scheme 2012”) was adopted 案，為鼓勵董事、合資格僱員及曾為本集團 for the primary purpose of providing incentives to 作出貢獻之參與者，本集團採納其購股權 directors, eligible employees and participants who have 計劃（「二零一二年計劃」），二零一二年計 contributed to the Group. The Scheme 2012 expired on 劃已於二零二二年八月十四日屆滿。於二 14 Augu</t>
        </is>
      </c>
    </row>
    <row r="99">
      <c r="A99" s="9" t="inlineStr">
        <is>
          <t>Share-based Payment</t>
        </is>
      </c>
      <c r="B99" s="9" t="inlineStr">
        <is>
          <t>以股份為基礎的付款</t>
        </is>
      </c>
      <c r="C99" s="9" t="inlineStr">
        <is>
          <t>medium</t>
        </is>
      </c>
      <c r="D99" s="12" t="inlineStr">
        <is>
          <t>share option</t>
        </is>
      </c>
      <c r="E99" s="12" t="inlineStr">
        <is>
          <t>PDF p.210 (印刷頁 209)</t>
        </is>
      </c>
      <c r="F99" s="12" t="inlineStr">
        <is>
          <t>NOTES TO THE CONSOLIDATED FINANCIAL STATEMENTS 綜合財務報表附註 For the Year ended 31 March 2026 截至二零二六年三月三十一日止年度 34. SHARE OPTION SCHEME (Continued) 34. 購股權計劃（續） Under the GEM Listing Rules, the maximum number of 根據GEM 上市規則，因所有購股權獲行使 Shares which may be allotted and issued annually upon 而可能每年配發及發行之股份數目上限初 the exercise of all options which initially shall not in 步共計不得超過採納二零二三年計劃當日 aggregate exceed 10% of the Shares in issue as at the 已發行股份10%，倘其後有所更新，則不 date of adoption of the Scheme 2023 and thereafter, if 得超過股東</t>
        </is>
      </c>
    </row>
    <row r="100">
      <c r="A100" s="9" t="inlineStr">
        <is>
          <t>Share-based Payment</t>
        </is>
      </c>
      <c r="B100" s="9" t="inlineStr">
        <is>
          <t>以股份為基礎的付款</t>
        </is>
      </c>
      <c r="C100" s="9" t="inlineStr">
        <is>
          <t>medium</t>
        </is>
      </c>
      <c r="D100" s="12" t="inlineStr">
        <is>
          <t>share option</t>
        </is>
      </c>
      <c r="E100" s="12" t="inlineStr">
        <is>
          <t>PDF p.211 (印刷頁 210)</t>
        </is>
      </c>
      <c r="F100" s="12" t="inlineStr">
        <is>
          <t>NOTES TO THE CONSOLIDATED FINANCIAL STATEMENTS 綜合財務報表附註 For the Year ended 31 March 2026 截至二零二六年三月三十一日止年度 34. SHARE OPTION SCHEME (Continued) 34. 購股權計劃（續） Options granted must be taken up within 21 days of the 授出之購股權必須於授出日期起計21日 date of grant, upon payment of HK$1 per option. Options 內，就每份購股權支付1港元後接納。購股 may be exercised at any time from the date of acceptance 權可於接納購股權當日起至本公司董事會 of the share option to such date as determined by the 釐定之有關日期內隨時行使，且行使價將 Board of the Company and the exercise price will not be</t>
        </is>
      </c>
    </row>
    <row r="101">
      <c r="A101" s="9" t="inlineStr">
        <is>
          <t>Share-based Payment</t>
        </is>
      </c>
      <c r="B101" s="9" t="inlineStr">
        <is>
          <t>以股份為基礎的付款</t>
        </is>
      </c>
      <c r="C101" s="9" t="inlineStr">
        <is>
          <t>medium</t>
        </is>
      </c>
      <c r="D101" s="12" t="inlineStr">
        <is>
          <t>share option</t>
        </is>
      </c>
      <c r="E101" s="12" t="inlineStr">
        <is>
          <t>PDF p.212 (印刷頁 211)</t>
        </is>
      </c>
      <c r="F101" s="12" t="inlineStr">
        <is>
          <t>NOTES TO THE CONSOLIDATED FINANCIAL STATEMENTS 綜合財務報表附註 For the Year ended 31 March 2026 截至二零二六年三月三十一日止年度 34. SHARE OPTION SCHEME (Continued) 34. 購股權計劃（續） The following share options were outstanding under the 截至二零二五年三月三十一日止年度，該 Scheme during the year ended 31 March 2025: 計劃項下尚未行使之購股權如下： Number of shares issuable under options held 根據所持購股權可予發行之股份數目 Weighted Balance at Exercisable at average Balance at 31 March 31 March exercise 1 April 2024 2025 2025 Vesting price* Share 於二零二四年 於二零二五年 於二零二五年 Category Gran</t>
        </is>
      </c>
    </row>
    <row r="102">
      <c r="A102" s="9" t="inlineStr">
        <is>
          <t>Share-based Payment</t>
        </is>
      </c>
      <c r="B102" s="9" t="inlineStr">
        <is>
          <t>以股份為基礎的付款</t>
        </is>
      </c>
      <c r="C102" s="9" t="inlineStr">
        <is>
          <t>medium</t>
        </is>
      </c>
      <c r="D102" s="12" t="inlineStr">
        <is>
          <t>share-based payment</t>
        </is>
      </c>
      <c r="E102" s="12" t="inlineStr">
        <is>
          <t>PDF p.213 (印刷頁 212)</t>
        </is>
      </c>
      <c r="F102" s="12" t="inlineStr">
        <is>
          <t>rs’ fee, salaries, allowances 董事袍金、薪金、津貼及 and other benefits 其他福利 1,068 1,198 Retirement benefit 退休福利 scheme contributions 計劃供款 8 15 Share-based payments 以股份為基礎之付款 90 265 1,166 1,478 (b) Related party transactions (b) 關連人士交易 2026 2025 二零二六年 二零二五年 Name of related parties Nature of transactions HK$’000 HK$’000 關連人士名稱 交易性質 千港元 千港元 Memorigin Watch Company Cost of inventories sold for watches 14 147 Limited to non-controlling interests 萬希泉鐘錶有限公司 向非控股權益出售手錶存貨成本 212 ANNUAL REPORT 年報 2025/26</t>
        </is>
      </c>
    </row>
    <row r="103">
      <c r="A103" s="9" t="inlineStr">
        <is>
          <t>Share-based Payment</t>
        </is>
      </c>
      <c r="B103" s="9" t="inlineStr">
        <is>
          <t>以股份為基礎的付款</t>
        </is>
      </c>
      <c r="C103" s="9" t="inlineStr">
        <is>
          <t>medium</t>
        </is>
      </c>
      <c r="D103" s="12" t="inlineStr">
        <is>
          <t>share-based payment</t>
        </is>
      </c>
      <c r="E103" s="12" t="inlineStr">
        <is>
          <t>PDF p.215 (印刷頁 214)</t>
        </is>
      </c>
      <c r="F103" s="12" t="inlineStr">
        <is>
          <t>NOTES TO THE CONSOLIDATED FINANCIAL STATEMENTS 綜合財務報表附註 For the Year ended 31 March 2026 截至二零二六年三月三十一日止年度 36. SHARE-BASED PAYMENTS 36. 以股份為基礎之付款 The Company has in place convertible bonds and share 本公司為本集團董事、僱員及顧問設立可 option scheme for directors, employees and advisors of 換股債券及購股權計劃。可換股債券及購 the Group. Details of the convertible bonds and share 股權之詳情如下： options are as follows: Convertible bonds 可換股債券 2022 CB 二零二二年 可換股債券 Principal amount 本金額 HK$19,000,000 19,000,000港元 Share price 股價 HK$0.212 0.212港元 Interest</t>
        </is>
      </c>
    </row>
    <row r="104">
      <c r="A104" s="9" t="inlineStr">
        <is>
          <t>Share-based Payment</t>
        </is>
      </c>
      <c r="B104" s="9" t="inlineStr">
        <is>
          <t>以股份為基礎的付款</t>
        </is>
      </c>
      <c r="C104" s="9" t="inlineStr">
        <is>
          <t>medium</t>
        </is>
      </c>
      <c r="D104" s="12" t="inlineStr">
        <is>
          <t>share-based payment</t>
        </is>
      </c>
      <c r="E104" s="12" t="inlineStr">
        <is>
          <t>PDF p.216 (印刷頁 215)</t>
        </is>
      </c>
      <c r="F104" s="12" t="inlineStr">
        <is>
          <t>NOTES TO THE CONSOLIDATED FINANCIAL STATEMENTS 綜合財務報表附註 For the Year ended 31 March 2026 截至二零二六年三月三十一日止年度 36. SHARE-BASED PAYMENTS (Continued) 36. 以股份為基礎之付款（續） Share Option Scheme 購股權計劃 Details of specific categories of options are as follow: 特定類別購股權詳情如下： The fair value of share options which were calculated 使用二項式購股權定價模式計算之購股權 by binomial option pricing model with the following 公平值乃使用以下假設： assumptions: Option type: 購股權類別： 2020A 2021A 2024 Grant date: 授出日期： 14-7-2020 6-7-2021 3-7-2024 二零二零年 二零二一年 二零二四年 七月十</t>
        </is>
      </c>
    </row>
    <row r="105">
      <c r="A105" s="9" t="inlineStr">
        <is>
          <t>Related Party Transactions</t>
        </is>
      </c>
      <c r="B105" s="9" t="inlineStr">
        <is>
          <t>關聯方交易</t>
        </is>
      </c>
      <c r="C105" s="9" t="inlineStr">
        <is>
          <t>low</t>
        </is>
      </c>
      <c r="D105" s="12" t="inlineStr">
        <is>
          <t>關連交易</t>
        </is>
      </c>
      <c r="E105" s="12" t="inlineStr">
        <is>
          <t>PDF p.23 (印刷頁 22)</t>
        </is>
      </c>
      <c r="F105" s="12" t="inlineStr">
        <is>
          <t>extraordinary general meeting held on 6 June 與Jumoon 保持緊密合作，提供更多增值服務。 2025 subsequently. The Group looks forward to maintaining 有關該持續關連交易的進一步詳情將於適當時 close cooperation with Jumoon and delivering more value-added 候披露。 services. Further details of this continuing connected transaction will be disclosed in due course. 22 ANNUAL REPORT 年報 2025/26</t>
        </is>
      </c>
    </row>
    <row r="106">
      <c r="A106" s="9" t="inlineStr">
        <is>
          <t>Related Party Transactions</t>
        </is>
      </c>
      <c r="B106" s="9" t="inlineStr">
        <is>
          <t>關聯方交易</t>
        </is>
      </c>
      <c r="C106" s="9" t="inlineStr">
        <is>
          <t>low</t>
        </is>
      </c>
      <c r="D106" s="12" t="inlineStr">
        <is>
          <t>connected transaction</t>
        </is>
      </c>
      <c r="E106" s="12" t="inlineStr">
        <is>
          <t>PDF p.64 (印刷頁 63)</t>
        </is>
      </c>
      <c r="F106" s="12" t="inlineStr">
        <is>
          <t>year ended 31 March 2026 are 酬及本集團五位最高薪酬人士之詳情載於綜合 set out in notes 12 and 13 to the consolidated financial 財務報表附註12及13。 statements. CONNECTED TRANSACTIONS 關連交易 Continuing connected transaction with The Star Overseas 與星輝海外有限公司的持續關連交易 Limited On 29 February 2024 (after trading hours), Huge Art Limited 於二零二四年二月二十九日（交易時段後），泰 (“Huge Art”, which is an indirect wholly-owned subsidiary of the 藝有限公司（「泰藝」，本公司之間接全資附屬公 Company), being the licensee, and The Star Overseas Limited 司）（作為獲許可方）與星輝海外有限公司（「星 (“TSOL”), being the licensor entered i</t>
        </is>
      </c>
    </row>
    <row r="107">
      <c r="A107" s="9" t="inlineStr">
        <is>
          <t>Related Party Transactions</t>
        </is>
      </c>
      <c r="B107" s="9" t="inlineStr">
        <is>
          <t>關聯方交易</t>
        </is>
      </c>
      <c r="C107" s="9" t="inlineStr">
        <is>
          <t>low</t>
        </is>
      </c>
      <c r="D107" s="12" t="inlineStr">
        <is>
          <t>connected transaction</t>
        </is>
      </c>
      <c r="E107" s="12" t="inlineStr">
        <is>
          <t>PDF p.66 (印刷頁 65)</t>
        </is>
      </c>
      <c r="F107" s="12" t="inlineStr">
        <is>
          <t>by the Group and 生銷售收入約6,300,000港元，且本集團向星 royalty of HK$1.3 million was paid by the Group to TSOL. 輝支付特許權使用費1,300,000港元。 Continuing connected transaction with Shenzhen Xinfeng 與深圳市新蜂文創發展有限公司的持續關連交 Cultural and Creative Development Co. Ltd. 易 On 12 February 2025 (after trading hours), Shenzhen Xingfeng 於二零二五年二月十二日（交易時段後），深圳 Culture Media Co. Ltd. ( 深圳市星蜂文化傳媒有限公司) 市星蜂文化傳媒有限公司（「星蜂」）與深圳市新 (“Xingfeng”) entered into an agreement (“Promotional Services 蜂文創發展有限公司（「新蜂」）訂立協議（「推廣 Framework Agreement”) with Shenzhen Xinfeng Cultural and 服</t>
        </is>
      </c>
    </row>
    <row r="108">
      <c r="A108" s="9" t="inlineStr">
        <is>
          <t>Related Party Transactions</t>
        </is>
      </c>
      <c r="B108" s="9" t="inlineStr">
        <is>
          <t>關聯方交易</t>
        </is>
      </c>
      <c r="C108" s="9" t="inlineStr">
        <is>
          <t>low</t>
        </is>
      </c>
      <c r="D108" s="12" t="inlineStr">
        <is>
          <t>connected transaction</t>
        </is>
      </c>
      <c r="E108" s="12" t="inlineStr">
        <is>
          <t>PDF p.67 (印刷頁 66)</t>
        </is>
      </c>
      <c r="F108" s="12" t="inlineStr">
        <is>
          <t>0 March 2025. 三月十日的公告。 The Company’s independent non-executive directors have 本公司獨立非執行董事已審閱上述持續關連交 reviewed the aforesaid continuing connected transactions and 易，並確認該等交易乃(i) 於本集團一般及日常業 confirmed that the transactions have been entered into (i) in 務過程中，(ii) 按一般商業條款或更佳條款及(iii) the ordinary and usual course of business of the Group, (ii) on 根據規管該等交易的協議訂立，有關條款屬公平 normal commercial terms or better and (iii) according to the 合理，並符合本公司股東的整體利益。 agreements governing them on terms that are fair and reasonable and in the interests of the</t>
        </is>
      </c>
    </row>
    <row r="109">
      <c r="A109" s="9" t="inlineStr">
        <is>
          <t>Related Party Transactions</t>
        </is>
      </c>
      <c r="B109" s="9" t="inlineStr">
        <is>
          <t>關聯方交易</t>
        </is>
      </c>
      <c r="C109" s="9" t="inlineStr">
        <is>
          <t>low</t>
        </is>
      </c>
      <c r="D109" s="12" t="inlineStr">
        <is>
          <t>related party</t>
        </is>
      </c>
      <c r="E109" s="12" t="inlineStr">
        <is>
          <t>PDF p.151 (印刷頁 150)</t>
        </is>
      </c>
      <c r="F109" s="12" t="inlineStr">
        <is>
          <t>respect of that operation attributable to the owners of the Company are reclassified to profit or loss. p) Related parties p) 關連人士 A related party is a person or entity that is related to 關連人士乃指與本集團有關之人士 the Group, as follows: 或實體，詳情如下： (a) A person, or a close member of that person’s (a) 該名人士符合以下條件時，該 family, is related to the Group if that person: 名人士或其家族之近親與本集 團有關聯： (i) has control or joint control over the (i) 對本集團擁有控制權或聯 Group; 合控制權； (ii) has significant influence over the Group; (ii) 對本集團擁有重大影響 or 力；或 (iii) is a member of</t>
        </is>
      </c>
    </row>
    <row r="110">
      <c r="A110" s="9" t="inlineStr">
        <is>
          <t>Related Party Transactions</t>
        </is>
      </c>
      <c r="B110" s="9" t="inlineStr">
        <is>
          <t>關聯方交易</t>
        </is>
      </c>
      <c r="C110" s="9" t="inlineStr">
        <is>
          <t>low</t>
        </is>
      </c>
      <c r="D110" s="12" t="inlineStr">
        <is>
          <t>related party</t>
        </is>
      </c>
      <c r="E110" s="12" t="inlineStr">
        <is>
          <t>PDF p.213 (印刷頁 212)</t>
        </is>
      </c>
      <c r="F110" s="12" t="inlineStr">
        <is>
          <t>NOTES TO THE CONSOLIDATED FINANCIAL STATEMENTS 綜合財務報表附註 For the Year ended 31 March 2026 截至二零二六年三月三十一日止年度 35. RELATED PARTY AND CONTINUING CONNECTED 35. 關連人士及持續關連交易 TRANSACTIONS In addition to those balances disclosed elsewhere in these 除該等綜合財務報表其他部分所披露之該 consolidated financial statements, the Group entered into 等結餘外，本集團曾進行下列重大關連人 the following material related party and continuing 士及持續關連交易。 connected transactions. (a) Key management personnel remuneration (a) 主要管理人員薪酬 Remuneration for key management pers</t>
        </is>
      </c>
    </row>
    <row r="111">
      <c r="A111" s="9" t="inlineStr">
        <is>
          <t>Related Party Transactions</t>
        </is>
      </c>
      <c r="B111" s="9" t="inlineStr">
        <is>
          <t>關聯方交易</t>
        </is>
      </c>
      <c r="C111" s="9" t="inlineStr">
        <is>
          <t>low</t>
        </is>
      </c>
      <c r="D111" s="12" t="inlineStr">
        <is>
          <t>related party</t>
        </is>
      </c>
      <c r="E111" s="12" t="inlineStr">
        <is>
          <t>PDF p.214 (印刷頁 213)</t>
        </is>
      </c>
      <c r="F111" s="12" t="inlineStr">
        <is>
          <t>NOTES TO THE CONSOLIDATED FINANCIAL STATEMENTS 綜合財務報表附註 For the Year ended 31 March 2026 截至二零二六年三月三十一日止年度 35. RELATED PARTY AND CONTINUING CONNECTED 35. 關連人士及持續關連交易（續） TRANSACTIONS (Continued) (c) Continuing connected transactions (c) 持續關連交易 2026 2025 二零二六年 二零二五年 Name of connected persons Nature of transactions HK$’000 HK$’000 關連人士名稱 交易性質 千港元 千港元 The Star Overseas Limited Royalty payment for licensing of 1,300 1,300 (Note 1) intellectual property right 星輝海外有限公司（附註1） 知識產權許可特許權使用費 Shenzhen Xinfeng Cultural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1"/>
  <sheetViews>
    <sheetView workbookViewId="0">
      <pane ySplit="30" topLeftCell="A31"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8" t="inlineStr">
        <is>
          <t>報表 Statement</t>
        </is>
      </c>
      <c r="B7" s="8" t="inlineStr">
        <is>
          <t>未擷取科目 Missing item</t>
        </is>
      </c>
    </row>
    <row r="8">
      <c r="A8" s="9" t="inlineStr">
        <is>
          <t>Income Statement</t>
        </is>
      </c>
      <c r="B8" s="9" t="inlineStr">
        <is>
          <t>Operating Profit</t>
        </is>
      </c>
    </row>
    <row r="9">
      <c r="A9" s="9" t="inlineStr">
        <is>
          <t>Income Statement</t>
        </is>
      </c>
      <c r="B9" s="9" t="inlineStr">
        <is>
          <t>Income Tax</t>
        </is>
      </c>
    </row>
    <row r="10">
      <c r="A10" s="9" t="inlineStr">
        <is>
          <t>Income Statement</t>
        </is>
      </c>
      <c r="B10" s="9" t="inlineStr">
        <is>
          <t>R&amp;D Expenses</t>
        </is>
      </c>
    </row>
    <row r="11">
      <c r="A11" s="9" t="inlineStr">
        <is>
          <t>Income Statement</t>
        </is>
      </c>
      <c r="B11" s="9" t="inlineStr">
        <is>
          <t>Depreciation</t>
        </is>
      </c>
    </row>
    <row r="12">
      <c r="A12" s="9" t="inlineStr">
        <is>
          <t>Income Statement</t>
        </is>
      </c>
      <c r="B12" s="9" t="inlineStr">
        <is>
          <t>Amortisation</t>
        </is>
      </c>
    </row>
    <row r="13">
      <c r="A13" s="9" t="inlineStr">
        <is>
          <t>Balance Sheet</t>
        </is>
      </c>
      <c r="B13" s="9" t="inlineStr">
        <is>
          <t>Total Assets</t>
        </is>
      </c>
    </row>
    <row r="14">
      <c r="A14" s="9" t="inlineStr">
        <is>
          <t>Balance Sheet</t>
        </is>
      </c>
      <c r="B14" s="9" t="inlineStr">
        <is>
          <t>Inventories</t>
        </is>
      </c>
    </row>
    <row r="15">
      <c r="A15" s="9" t="inlineStr">
        <is>
          <t>Balance Sheet</t>
        </is>
      </c>
      <c r="B15" s="9" t="inlineStr">
        <is>
          <t>Goodwill</t>
        </is>
      </c>
    </row>
    <row r="16">
      <c r="A16" s="9" t="inlineStr">
        <is>
          <t>Balance Sheet</t>
        </is>
      </c>
      <c r="B16" s="9" t="inlineStr">
        <is>
          <t>Intangible Assets</t>
        </is>
      </c>
    </row>
    <row r="17">
      <c r="A17" s="9" t="inlineStr">
        <is>
          <t>Balance Sheet</t>
        </is>
      </c>
      <c r="B17" s="9" t="inlineStr">
        <is>
          <t>Investment Properties</t>
        </is>
      </c>
    </row>
    <row r="18">
      <c r="A18" s="9" t="inlineStr">
        <is>
          <t>Balance Sheet</t>
        </is>
      </c>
      <c r="B18" s="9" t="inlineStr">
        <is>
          <t>Total Liabilities</t>
        </is>
      </c>
    </row>
    <row r="19">
      <c r="A19" s="9" t="inlineStr">
        <is>
          <t>Balance Sheet</t>
        </is>
      </c>
      <c r="B19" s="9" t="inlineStr">
        <is>
          <t>Borrowings</t>
        </is>
      </c>
    </row>
    <row r="20">
      <c r="A20" s="9" t="inlineStr">
        <is>
          <t>Balance Sheet</t>
        </is>
      </c>
      <c r="B20" s="9" t="inlineStr">
        <is>
          <t>Total Equity</t>
        </is>
      </c>
    </row>
    <row r="21">
      <c r="A21" s="9" t="inlineStr">
        <is>
          <t>Cash Flow</t>
        </is>
      </c>
      <c r="B21" s="9" t="inlineStr">
        <is>
          <t>Operating Cash Flow</t>
        </is>
      </c>
    </row>
    <row r="22">
      <c r="A22" s="9" t="inlineStr">
        <is>
          <t>Cash Flow</t>
        </is>
      </c>
      <c r="B22" s="9" t="inlineStr">
        <is>
          <t>Investing Cash Flow</t>
        </is>
      </c>
    </row>
    <row r="23">
      <c r="A23" s="9" t="inlineStr">
        <is>
          <t>Cash Flow</t>
        </is>
      </c>
      <c r="B23" s="9" t="inlineStr">
        <is>
          <t>Financing Cash Flow</t>
        </is>
      </c>
    </row>
    <row r="24">
      <c r="A24" s="9" t="inlineStr">
        <is>
          <t>Cash Flow</t>
        </is>
      </c>
      <c r="B24" s="9" t="inlineStr">
        <is>
          <t>Capital Expenditure</t>
        </is>
      </c>
    </row>
    <row r="27">
      <c r="A27" s="5" t="inlineStr">
        <is>
          <t>二、文字量過低的頁面(疑似掃描頁)</t>
        </is>
      </c>
    </row>
    <row r="28">
      <c r="A28" s="2" t="inlineStr">
        <is>
          <t>這些頁面幾乎抓不到文字,通常是掃描件或純圖表,建議人手翻閱或另行 OCR。</t>
        </is>
      </c>
    </row>
    <row r="30">
      <c r="A30" s="8" t="inlineStr">
        <is>
          <t>PDF 頁碼</t>
        </is>
      </c>
      <c r="B30" s="8" t="inlineStr">
        <is>
          <t>狀態</t>
        </is>
      </c>
    </row>
    <row r="31">
      <c r="A31" s="9" t="n">
        <v>230</v>
      </c>
      <c r="B31" s="9"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2026-08-30T14:16:39Z</dcterms:created>
  <dcterms:modified xsi:type="dcterms:W3CDTF">2026-08-30T14:16:39Z</dcterms:modified>
</cp:coreProperties>
</file>
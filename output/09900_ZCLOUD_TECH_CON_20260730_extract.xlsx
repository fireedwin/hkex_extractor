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09900_ZCLOUD_TECH_CON_20260730.pdf</t>
        </is>
      </c>
    </row>
    <row r="5">
      <c r="A5" s="3" t="inlineStr">
        <is>
          <t>產生時間 Generated</t>
        </is>
      </c>
      <c r="B5" s="4" t="inlineStr">
        <is>
          <t>2026-08-30 22:15</t>
        </is>
      </c>
    </row>
    <row r="6">
      <c r="A6" s="4" t="inlineStr"/>
      <c r="B6" s="4" t="inlineStr"/>
    </row>
    <row r="7">
      <c r="A7" s="3" t="inlineStr">
        <is>
          <t>總頁數 Total pages</t>
        </is>
      </c>
      <c r="B7" s="4" t="n">
        <v>99</v>
      </c>
    </row>
    <row r="8">
      <c r="A8" s="3" t="inlineStr">
        <is>
          <t>已擷取字元 Characters extracted</t>
        </is>
      </c>
      <c r="B8" s="4" t="n">
        <v>223750</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11</v>
      </c>
    </row>
    <row r="14">
      <c r="A14" s="3" t="inlineStr">
        <is>
          <t>主題段落擷取筆數 Topic extracts</t>
        </is>
      </c>
      <c r="B14" s="4" t="n">
        <v>24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357,151 − 58,142 = 299,009</t>
        </is>
      </c>
    </row>
    <row r="20">
      <c r="A20" s="6" t="inlineStr">
        <is>
          <t>✓ 三大報表應相鄰</t>
        </is>
      </c>
      <c r="B20" s="4" t="inlineStr">
        <is>
          <t>Income Statement: p.50、Balance Sheet: p.51、Cash Flow: p.53(相距 3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2.9</v>
      </c>
      <c r="D5" s="10" t="n">
        <v>2.9</v>
      </c>
      <c r="E5" s="11" t="inlineStr">
        <is>
          <t>2.9%</t>
        </is>
      </c>
      <c r="F5" s="11" t="inlineStr">
        <is>
          <t>High</t>
        </is>
      </c>
      <c r="G5" s="11" t="inlineStr">
        <is>
          <t>PDF p.6 (印刷頁 05)</t>
        </is>
      </c>
      <c r="H5" s="11" t="inlineStr">
        <is>
          <t xml:space="preserve">fit to HK$24.9 million (2025: HK$62.7 million), it recorded a 40.8% decrease in gross profit margin to 2.9% (2025: 4.9%), compared to FY2025. Such decreases in both gross profit and gross profit margin were mainly due to (i) the additional costs incurred for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851153</v>
      </c>
      <c r="D5" s="13" t="n">
        <v>1275230</v>
      </c>
      <c r="E5" s="14">
        <f>IF(ISERROR((C5-D5)/ABS(D5)),"",(C5-D5)/ABS(D5))</f>
        <v>-0.3325494224571254</v>
      </c>
      <c r="F5" s="11" t="inlineStr">
        <is>
          <t>PDF p.50 (印刷頁 49)</t>
        </is>
      </c>
      <c r="G5" s="11" t="inlineStr">
        <is>
          <t>Revenue 5 851,153 1,275,230</t>
        </is>
      </c>
    </row>
    <row r="6">
      <c r="A6" s="8" t="inlineStr">
        <is>
          <t>Income Statement</t>
        </is>
      </c>
      <c r="B6" s="8" t="inlineStr">
        <is>
          <t>Gross Profit</t>
        </is>
      </c>
      <c r="C6" s="12" t="n">
        <v>24888</v>
      </c>
      <c r="D6" s="13" t="n">
        <v>62720</v>
      </c>
      <c r="E6" s="14">
        <f>IF(ISERROR((C6-D6)/ABS(D6)),"",(C6-D6)/ABS(D6))</f>
        <v>-0.6031887755102041</v>
      </c>
      <c r="F6" s="11" t="inlineStr">
        <is>
          <t>PDF p.50 (印刷頁 49)</t>
        </is>
      </c>
      <c r="G6" s="11" t="inlineStr">
        <is>
          <t>Gross profit 24,888 62,720</t>
        </is>
      </c>
    </row>
    <row r="7">
      <c r="A7" s="8" t="inlineStr">
        <is>
          <t>Income Statement</t>
        </is>
      </c>
      <c r="B7" s="8" t="inlineStr">
        <is>
          <t>Finance Costs</t>
        </is>
      </c>
      <c r="C7" s="12" t="n">
        <v>-54</v>
      </c>
      <c r="D7" s="13" t="n">
        <v>-9</v>
      </c>
      <c r="E7" s="14">
        <f>IF(ISERROR((C7-D7)/ABS(D7)),"",(C7-D7)/ABS(D7))</f>
        <v>-5.0</v>
      </c>
      <c r="F7" s="11" t="inlineStr">
        <is>
          <t>PDF p.50 (印刷頁 49)</t>
        </is>
      </c>
      <c r="G7" s="11" t="inlineStr">
        <is>
          <t>Finance costs 9 (54) (9)</t>
        </is>
      </c>
    </row>
    <row r="8">
      <c r="A8" s="8" t="inlineStr">
        <is>
          <t>Income Statement</t>
        </is>
      </c>
      <c r="B8" s="8" t="inlineStr">
        <is>
          <t>Profit Before Tax</t>
        </is>
      </c>
      <c r="C8" s="12" t="n">
        <v>9012</v>
      </c>
      <c r="D8" s="13" t="n">
        <v>40447</v>
      </c>
      <c r="E8" s="14">
        <f>IF(ISERROR((C8-D8)/ABS(D8)),"",(C8-D8)/ABS(D8))</f>
        <v>-0.7771899028358098</v>
      </c>
      <c r="F8" s="11" t="inlineStr">
        <is>
          <t>PDF p.50 (印刷頁 49)</t>
        </is>
      </c>
      <c r="G8" s="11" t="inlineStr">
        <is>
          <t>Profit before taxation 10 9,012 40,447</t>
        </is>
      </c>
    </row>
    <row r="9">
      <c r="A9" s="8" t="inlineStr">
        <is>
          <t>Income Statement</t>
        </is>
      </c>
      <c r="B9" s="8" t="inlineStr">
        <is>
          <t>Income Tax</t>
        </is>
      </c>
      <c r="C9" s="12" t="n">
        <v>-1486</v>
      </c>
      <c r="D9" s="13" t="n">
        <v>-5394</v>
      </c>
      <c r="E9" s="14">
        <f>IF(ISERROR((C9-D9)/ABS(D9)),"",(C9-D9)/ABS(D9))</f>
        <v>0.7245087133852428</v>
      </c>
      <c r="F9" s="11" t="inlineStr">
        <is>
          <t>PDF p.50 (印刷頁 49)</t>
        </is>
      </c>
      <c r="G9" s="11" t="inlineStr">
        <is>
          <t>Income tax expense 11 (1,486) (5,394)</t>
        </is>
      </c>
    </row>
    <row r="10">
      <c r="A10" s="8" t="inlineStr">
        <is>
          <t>Balance Sheet</t>
        </is>
      </c>
      <c r="B10" s="8" t="inlineStr">
        <is>
          <t>Trade Receivables</t>
        </is>
      </c>
      <c r="C10" s="12" t="n">
        <v>61095</v>
      </c>
      <c r="D10" s="13" t="n">
        <v>131100</v>
      </c>
      <c r="E10" s="14">
        <f>IF(ISERROR((C10-D10)/ABS(D10)),"",(C10-D10)/ABS(D10))</f>
        <v>-0.5339816933638444</v>
      </c>
      <c r="F10" s="11" t="inlineStr">
        <is>
          <t>PDF p.51 (印刷頁 50)</t>
        </is>
      </c>
      <c r="G10" s="11" t="inlineStr">
        <is>
          <t>Trade and other receivables 17 61,095 131,100</t>
        </is>
      </c>
    </row>
    <row r="11">
      <c r="A11" s="8" t="inlineStr">
        <is>
          <t>Balance Sheet</t>
        </is>
      </c>
      <c r="B11" s="8" t="inlineStr">
        <is>
          <t>Total Equity</t>
        </is>
      </c>
      <c r="C11" s="12" t="n">
        <v>302634</v>
      </c>
      <c r="D11" s="13" t="n">
        <v>299028</v>
      </c>
      <c r="E11" s="14">
        <f>IF(ISERROR((C11-D11)/ABS(D11)),"",(C11-D11)/ABS(D11))</f>
        <v>0.012059071391307838</v>
      </c>
      <c r="F11" s="11" t="inlineStr">
        <is>
          <t>PDF p.51 (印刷頁 50)</t>
        </is>
      </c>
      <c r="G11" s="11" t="inlineStr">
        <is>
          <t>Total equity 302,634 299,028</t>
        </is>
      </c>
    </row>
    <row r="12">
      <c r="A12" s="8" t="inlineStr">
        <is>
          <t>Balance Sheet</t>
        </is>
      </c>
      <c r="B12" s="8" t="inlineStr">
        <is>
          <t>Total Current Assets</t>
        </is>
      </c>
      <c r="C12" s="12" t="n">
        <v>357151</v>
      </c>
      <c r="D12" s="13" t="n">
        <v>425254</v>
      </c>
      <c r="E12" s="14">
        <f>IF(ISERROR((C12-D12)/ABS(D12)),"",(C12-D12)/ABS(D12))</f>
        <v>-0.16014664177174112</v>
      </c>
      <c r="F12" s="11" t="inlineStr">
        <is>
          <t>PDF p.51 (印刷頁 50)</t>
        </is>
      </c>
      <c r="G12" s="11" t="inlineStr">
        <is>
          <t>[current assets 區段小計] 357,151 425,254</t>
        </is>
      </c>
    </row>
    <row r="13">
      <c r="A13" s="8" t="inlineStr">
        <is>
          <t>Balance Sheet</t>
        </is>
      </c>
      <c r="B13" s="8" t="inlineStr">
        <is>
          <t>Total Current Liabilities</t>
        </is>
      </c>
      <c r="C13" s="12" t="n">
        <v>58142</v>
      </c>
      <c r="D13" s="13" t="n">
        <v>130416</v>
      </c>
      <c r="E13" s="14">
        <f>IF(ISERROR((C13-D13)/ABS(D13)),"",(C13-D13)/ABS(D13))</f>
        <v>-0.5541804686541528</v>
      </c>
      <c r="F13" s="11" t="inlineStr">
        <is>
          <t>PDF p.51 (印刷頁 50)</t>
        </is>
      </c>
      <c r="G13" s="11" t="inlineStr">
        <is>
          <t>[current liabilities 區段小計] 58,142 130,416</t>
        </is>
      </c>
    </row>
    <row r="14">
      <c r="A14" s="8" t="inlineStr">
        <is>
          <t>Cash Flow</t>
        </is>
      </c>
      <c r="B14" s="8" t="inlineStr">
        <is>
          <t>Operating Cash Flow</t>
        </is>
      </c>
      <c r="C14" s="12" t="n">
        <v>47235</v>
      </c>
      <c r="D14" s="13" t="n">
        <v>16207</v>
      </c>
      <c r="E14" s="14">
        <f>IF(ISERROR((C14-D14)/ABS(D14)),"",(C14-D14)/ABS(D14))</f>
        <v>1.9144813969272536</v>
      </c>
      <c r="F14" s="11" t="inlineStr">
        <is>
          <t>PDF p.53 (印刷頁 52)</t>
        </is>
      </c>
      <c r="G14" s="11" t="inlineStr">
        <is>
          <t>Net cash from operating activities 47,235 16,207</t>
        </is>
      </c>
    </row>
    <row r="15">
      <c r="A15" s="8" t="inlineStr">
        <is>
          <t>Cash Flow</t>
        </is>
      </c>
      <c r="B15" s="8" t="inlineStr">
        <is>
          <t>Financing Cash Flow</t>
        </is>
      </c>
      <c r="C15" s="12" t="n">
        <v>-4769</v>
      </c>
      <c r="D15" s="13" t="n">
        <v>-6293</v>
      </c>
      <c r="E15" s="14">
        <f>IF(ISERROR((C15-D15)/ABS(D15)),"",(C15-D15)/ABS(D15))</f>
        <v>0.24217384395359923</v>
      </c>
      <c r="F15" s="11" t="inlineStr">
        <is>
          <t>PDF p.54 (印刷頁 53)</t>
        </is>
      </c>
      <c r="G15" s="11" t="inlineStr">
        <is>
          <t>Net cash used in financing activities (4,769) (6,293)</t>
        </is>
      </c>
    </row>
    <row r="17">
      <c r="A1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財務數據'!$C$5:$C$15,MATCH("Gross Profit",'Financials 財務數據'!$B$5:$B$15,0))/INDEX('Financials 財務數據'!$C$5:$C$15,MATCH("Revenue",'Financials 財務數據'!$B$5:$B$15,0))),"n/a",INDEX('Financials 財務數據'!$C$5:$C$15,MATCH("Gross Profit",'Financials 財務數據'!$B$5:$B$15,0))/INDEX('Financials 財務數據'!$C$5:$C$15,MATCH("Revenue",'Financials 財務數據'!$B$5:$B$15,0)))</f>
        <v>0.029240336343759582</v>
      </c>
      <c r="C5" s="15">
        <f>IF(ISERROR(INDEX('Financials 財務數據'!$D$5:$D$15,MATCH("Gross Profit",'Financials 財務數據'!$B$5:$B$15,0))/INDEX('Financials 財務數據'!$D$5:$D$15,MATCH("Revenue",'Financials 財務數據'!$B$5:$B$15,0))),"n/a",INDEX('Financials 財務數據'!$D$5:$D$15,MATCH("Gross Profit",'Financials 財務數據'!$B$5:$B$15,0))/INDEX('Financials 財務數據'!$D$5:$D$15,MATCH("Revenue",'Financials 財務數據'!$B$5:$B$15,0)))</f>
        <v>0.049183284583957404</v>
      </c>
      <c r="D5" s="2" t="inlineStr">
        <is>
          <t>毛利 ÷ 收入</t>
        </is>
      </c>
    </row>
    <row r="6">
      <c r="A6" s="4" t="inlineStr">
        <is>
          <t>Net Margin 淨利率</t>
        </is>
      </c>
      <c r="B6" s="15" t="str">
        <f>IF(ISERROR(INDEX('Financials 財務數據'!$C$5:$C$15,MATCH("Profit for the Year",'Financials 財務數據'!$B$5:$B$15,0))/INDEX('Financials 財務數據'!$C$5:$C$15,MATCH("Revenue",'Financials 財務數據'!$B$5:$B$15,0))),"n/a",INDEX('Financials 財務數據'!$C$5:$C$15,MATCH("Profit for the Year",'Financials 財務數據'!$B$5:$B$15,0))/INDEX('Financials 財務數據'!$C$5:$C$15,MATCH("Revenue",'Financials 財務數據'!$B$5:$B$15,0)))</f>
        <v>n/a</v>
      </c>
      <c r="C6" s="15" t="str">
        <f>IF(ISERROR(INDEX('Financials 財務數據'!$D$5:$D$15,MATCH("Profit for the Year",'Financials 財務數據'!$B$5:$B$15,0))/INDEX('Financials 財務數據'!$D$5:$D$15,MATCH("Revenue",'Financials 財務數據'!$B$5:$B$15,0))),"n/a",INDEX('Financials 財務數據'!$D$5:$D$15,MATCH("Profit for the Year",'Financials 財務數據'!$B$5:$B$15,0))/INDEX('Financials 財務數據'!$D$5:$D$15,MATCH("Revenue",'Financials 財務數據'!$B$5:$B$15,0)))</f>
        <v>n/a</v>
      </c>
      <c r="D6" s="2" t="inlineStr">
        <is>
          <t>年內溢利 ÷ 收入</t>
        </is>
      </c>
    </row>
    <row r="7">
      <c r="A7" s="4" t="inlineStr">
        <is>
          <t>Current Ratio 流動比率</t>
        </is>
      </c>
      <c r="B7" s="16">
        <f>IF(ISERROR(INDEX('Financials 財務數據'!$C$5:$C$15,MATCH("Total Current Assets",'Financials 財務數據'!$B$5:$B$15,0))/INDEX('Financials 財務數據'!$C$5:$C$15,MATCH("Total Current Liabilities",'Financials 財務數據'!$B$5:$B$15,0))),"n/a",INDEX('Financials 財務數據'!$C$5:$C$15,MATCH("Total Current Assets",'Financials 財務數據'!$B$5:$B$15,0))/INDEX('Financials 財務數據'!$C$5:$C$15,MATCH("Total Current Liabilities",'Financials 財務數據'!$B$5:$B$15,0)))</f>
        <v>6.142736747961886</v>
      </c>
      <c r="C7" s="16">
        <f>IF(ISERROR(INDEX('Financials 財務數據'!$D$5:$D$15,MATCH("Total Current Assets",'Financials 財務數據'!$B$5:$B$15,0))/INDEX('Financials 財務數據'!$D$5:$D$15,MATCH("Total Current Liabilities",'Financials 財務數據'!$B$5:$B$15,0))),"n/a",INDEX('Financials 財務數據'!$D$5:$D$15,MATCH("Total Current Assets",'Financials 財務數據'!$B$5:$B$15,0))/INDEX('Financials 財務數據'!$D$5:$D$15,MATCH("Total Current Liabilities",'Financials 財務數據'!$B$5:$B$15,0)))</f>
        <v>3.260750214697583</v>
      </c>
      <c r="D7" s="2" t="inlineStr">
        <is>
          <t>流動資產 ÷ 流動負債</t>
        </is>
      </c>
    </row>
    <row r="8">
      <c r="A8" s="4" t="inlineStr">
        <is>
          <t>Debt / Equity 負債權益比</t>
        </is>
      </c>
      <c r="B8" s="16" t="str">
        <f>IF(ISERROR(INDEX('Financials 財務數據'!$C$5:$C$15,MATCH("Total Liabilities",'Financials 財務數據'!$B$5:$B$15,0))/INDEX('Financials 財務數據'!$C$5:$C$15,MATCH("Total Equity",'Financials 財務數據'!$B$5:$B$15,0))),"n/a",INDEX('Financials 財務數據'!$C$5:$C$15,MATCH("Total Liabilities",'Financials 財務數據'!$B$5:$B$15,0))/INDEX('Financials 財務數據'!$C$5:$C$15,MATCH("Total Equity",'Financials 財務數據'!$B$5:$B$15,0)))</f>
        <v>n/a</v>
      </c>
      <c r="C8" s="16" t="str">
        <f>IF(ISERROR(INDEX('Financials 財務數據'!$D$5:$D$15,MATCH("Total Liabilities",'Financials 財務數據'!$B$5:$B$15,0))/INDEX('Financials 財務數據'!$D$5:$D$15,MATCH("Total Equity",'Financials 財務數據'!$B$5:$B$15,0))),"n/a",INDEX('Financials 財務數據'!$D$5:$D$15,MATCH("Total Liabilities",'Financials 財務數據'!$B$5:$B$15,0))/INDEX('Financials 財務數據'!$D$5:$D$15,MATCH("Total Equity",'Financials 財務數據'!$B$5:$B$15,0)))</f>
        <v>n/a</v>
      </c>
      <c r="D8" s="2" t="inlineStr">
        <is>
          <t>總負債 ÷ 總權益</t>
        </is>
      </c>
    </row>
    <row r="9">
      <c r="A9" s="4" t="inlineStr">
        <is>
          <t>Goodwill / Total Assets</t>
        </is>
      </c>
      <c r="B9" s="15" t="str">
        <f>IF(ISERROR(INDEX('Financials 財務數據'!$C$5:$C$15,MATCH("Goodwill",'Financials 財務數據'!$B$5:$B$15,0))/INDEX('Financials 財務數據'!$C$5:$C$15,MATCH("Total Assets",'Financials 財務數據'!$B$5:$B$15,0))),"n/a",INDEX('Financials 財務數據'!$C$5:$C$15,MATCH("Goodwill",'Financials 財務數據'!$B$5:$B$15,0))/INDEX('Financials 財務數據'!$C$5:$C$15,MATCH("Total Assets",'Financials 財務數據'!$B$5:$B$15,0)))</f>
        <v>n/a</v>
      </c>
      <c r="C9" s="15" t="str">
        <f>IF(ISERROR(INDEX('Financials 財務數據'!$D$5:$D$15,MATCH("Goodwill",'Financials 財務數據'!$B$5:$B$15,0))/INDEX('Financials 財務數據'!$D$5:$D$15,MATCH("Total Assets",'Financials 財務數據'!$B$5:$B$15,0))),"n/a",INDEX('Financials 財務數據'!$D$5:$D$15,MATCH("Goodwill",'Financials 財務數據'!$B$5:$B$15,0))/INDEX('Financials 財務數據'!$D$5:$D$15,MATCH("Total Assets",'Financials 財務數據'!$B$5:$B$15,0)))</f>
        <v>n/a</v>
      </c>
      <c r="D9" s="2" t="inlineStr">
        <is>
          <t>商譽佔總資產比重 — 減值風險指標</t>
        </is>
      </c>
    </row>
    <row r="10">
      <c r="A10" s="4" t="inlineStr">
        <is>
          <t>Intangibles / Total Assets</t>
        </is>
      </c>
      <c r="B10" s="15" t="str">
        <f>IF(ISERROR(INDEX('Financials 財務數據'!$C$5:$C$15,MATCH("Intangible Assets",'Financials 財務數據'!$B$5:$B$15,0))/INDEX('Financials 財務數據'!$C$5:$C$15,MATCH("Total Assets",'Financials 財務數據'!$B$5:$B$15,0))),"n/a",INDEX('Financials 財務數據'!$C$5:$C$15,MATCH("Intangible Assets",'Financials 財務數據'!$B$5:$B$15,0))/INDEX('Financials 財務數據'!$C$5:$C$15,MATCH("Total Assets",'Financials 財務數據'!$B$5:$B$15,0)))</f>
        <v>n/a</v>
      </c>
      <c r="C10" s="15" t="str">
        <f>IF(ISERROR(INDEX('Financials 財務數據'!$D$5:$D$15,MATCH("Intangible Assets",'Financials 財務數據'!$B$5:$B$15,0))/INDEX('Financials 財務數據'!$D$5:$D$15,MATCH("Total Assets",'Financials 財務數據'!$B$5:$B$15,0))),"n/a",INDEX('Financials 財務數據'!$D$5:$D$15,MATCH("Intangible Assets",'Financials 財務數據'!$B$5:$B$15,0))/INDEX('Financials 財務數據'!$D$5:$D$15,MATCH("Total Assets",'Financials 財務數據'!$B$5:$B$15,0)))</f>
        <v>n/a</v>
      </c>
      <c r="D10" s="2" t="inlineStr">
        <is>
          <t>無形資產佔比</t>
        </is>
      </c>
    </row>
    <row r="11">
      <c r="A11" s="4" t="inlineStr">
        <is>
          <t>ROE 股本回報率</t>
        </is>
      </c>
      <c r="B11" s="15" t="str">
        <f>IF(ISERROR(INDEX('Financials 財務數據'!$C$5:$C$15,MATCH("Profit for the Year",'Financials 財務數據'!$B$5:$B$15,0))/INDEX('Financials 財務數據'!$C$5:$C$15,MATCH("Total Equity",'Financials 財務數據'!$B$5:$B$15,0))),"n/a",INDEX('Financials 財務數據'!$C$5:$C$15,MATCH("Profit for the Year",'Financials 財務數據'!$B$5:$B$15,0))/INDEX('Financials 財務數據'!$C$5:$C$15,MATCH("Total Equity",'Financials 財務數據'!$B$5:$B$15,0)))</f>
        <v>n/a</v>
      </c>
      <c r="C11" s="15" t="str">
        <f>IF(ISERROR(INDEX('Financials 財務數據'!$D$5:$D$15,MATCH("Profit for the Year",'Financials 財務數據'!$B$5:$B$15,0))/INDEX('Financials 財務數據'!$D$5:$D$15,MATCH("Total Equity",'Financials 財務數據'!$B$5:$B$15,0))),"n/a",INDEX('Financials 財務數據'!$D$5:$D$15,MATCH("Profit for the Year",'Financials 財務數據'!$B$5:$B$15,0))/INDEX('Financials 財務數據'!$D$5:$D$15,MATCH("Total Equity",'Financials 財務數據'!$B$5:$B$15,0)))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1275230</v>
      </c>
      <c r="C5" s="18" t="n">
        <v>851153</v>
      </c>
    </row>
    <row r="6">
      <c r="A6" s="4" t="inlineStr">
        <is>
          <t>Gross Profit</t>
        </is>
      </c>
      <c r="B6" s="18" t="n">
        <v>62720</v>
      </c>
      <c r="C6" s="18" t="n">
        <v>24888</v>
      </c>
    </row>
    <row r="7">
      <c r="A7" s="4" t="inlineStr">
        <is>
          <t>Profit Before Tax</t>
        </is>
      </c>
      <c r="B7" s="18" t="n">
        <v>40447</v>
      </c>
      <c r="C7" s="18" t="n">
        <v>9012</v>
      </c>
    </row>
    <row r="8">
      <c r="A8" s="4" t="inlineStr">
        <is>
          <t>Total Equity</t>
        </is>
      </c>
      <c r="B8" s="18" t="n">
        <v>299028</v>
      </c>
      <c r="C8" s="18" t="n">
        <v>302634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p.91 (印刷頁 90)</t>
        </is>
      </c>
      <c r="F4" s="11" t="inlineStr">
        <is>
          <t>that are measured at fair value on a recurring basis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9" t="inlineStr">
        <is>
          <t>high</t>
        </is>
      </c>
      <c r="D5" s="11" t="inlineStr">
        <is>
          <t>fair value hierarchy</t>
        </is>
      </c>
      <c r="E5" s="11" t="inlineStr">
        <is>
          <t>PDF p.92 (印刷頁 91)</t>
        </is>
      </c>
      <c r="F5" s="11" t="inlineStr">
        <is>
          <t>vestments were measured using a valuation technique with significant unobservable inputs and hence were classified as Level 3 of the fair value hierarchy. The higher the reported net asset values of the unlisted fund investments are, the higher the fair value of the unlisted fund investments is. In accounting for the fair value measurement of the unlisted equity investment, the management of the Group has determined that the recent transaction price of the shares of equity investment represents the fair value of the unlisted eq</t>
        </is>
      </c>
    </row>
    <row r="6">
      <c r="A6" s="8" t="inlineStr">
        <is>
          <t>Fair Value Measurement</t>
        </is>
      </c>
      <c r="B6" s="8" t="inlineStr">
        <is>
          <t>公允價值計量</t>
        </is>
      </c>
      <c r="C6" s="19" t="inlineStr">
        <is>
          <t>high</t>
        </is>
      </c>
      <c r="D6" s="11" t="inlineStr">
        <is>
          <t>level 3</t>
        </is>
      </c>
      <c r="E6" s="11" t="inlineStr">
        <is>
          <t>PDF p.93 (印刷頁 92)</t>
        </is>
      </c>
      <c r="F6" s="11" t="inlineStr">
        <is>
          <t>1 March 2026 28. Financial Instruments (Continued) Fair value measurements of financial instruments (Continued) b. Reconciliation of Level 3 fair value measurements of financial assets HK$’000 Unlisted fund investments At 1 April 2024 14,998 Additions 10,000 Total gain: – In profit or loss 2,680 At 31 March 2025 27,678 Total gain: – In profit or loss 1,002 At 31 March 2026 28,680 The fair values of financial assets and financial liabilities recorded at amortised cost are determined in accordance with generally accepted pricing</t>
        </is>
      </c>
    </row>
    <row r="7">
      <c r="A7" s="8" t="inlineStr">
        <is>
          <t>Impairment Testing</t>
        </is>
      </c>
      <c r="B7" s="8" t="inlineStr">
        <is>
          <t>減值測試</t>
        </is>
      </c>
      <c r="C7" s="19" t="inlineStr">
        <is>
          <t>high</t>
        </is>
      </c>
      <c r="D7" s="11" t="inlineStr">
        <is>
          <t>impairment loss</t>
        </is>
      </c>
      <c r="E7" s="11" t="inlineStr">
        <is>
          <t>PDF p.5 (印刷頁 04)</t>
        </is>
      </c>
      <c r="F7" s="11" t="inlineStr">
        <is>
          <t>or loss; (iv) the absence of share of result of an associate; (v) the decrease in administrative expenses; and (vi) the reversal of impairment losses under expected credit loss (“ECL”) model during the year compared with the recognition of impairment losses under ECL last year. Prospects Looking ahead, the construction industry in Hong Kong continues to face challenges from global economic uncertainties, a subdued residential market, and a projected contraction in real terms for 2026 amid high inflation, rising unemployment in</t>
        </is>
      </c>
    </row>
    <row r="8">
      <c r="A8" s="8" t="inlineStr">
        <is>
          <t>Impairment Testing</t>
        </is>
      </c>
      <c r="B8" s="8" t="inlineStr">
        <is>
          <t>減值測試</t>
        </is>
      </c>
      <c r="C8" s="19" t="inlineStr">
        <is>
          <t>high</t>
        </is>
      </c>
      <c r="D8" s="11" t="inlineStr">
        <is>
          <t>impairment loss</t>
        </is>
      </c>
      <c r="E8" s="11" t="inlineStr">
        <is>
          <t>PDF p.6 (印刷頁 05)</t>
        </is>
      </c>
      <c r="F8" s="11" t="inlineStr">
        <is>
          <t>“FVTPL”); (iv) the absence of share of result of an associate; (v) the decrease in administrative expenses; and (vi) the reversal of impairment losses under expected credit loss (“ECL”) model during the year compared with the recognition of impairment losses under ECL last year. Financial Review Revenue For FY2026, the Group generated a revenue of HK$851.2 million (2025: HK$1,275.2 million), representing a decrease of 33.2% compared to the year ended 31 March 2025 (“FY2025”). The decrease was mainly attributable to the decrease</t>
        </is>
      </c>
    </row>
    <row r="9">
      <c r="A9" s="8" t="inlineStr">
        <is>
          <t>Impairment Testing</t>
        </is>
      </c>
      <c r="B9" s="8" t="inlineStr">
        <is>
          <t>減值測試</t>
        </is>
      </c>
      <c r="C9" s="19" t="inlineStr">
        <is>
          <t>high</t>
        </is>
      </c>
      <c r="D9" s="11" t="inlineStr">
        <is>
          <t>impairment loss</t>
        </is>
      </c>
      <c r="E9" s="11" t="inlineStr">
        <is>
          <t>PDF p.7 (印刷頁 06)</t>
        </is>
      </c>
      <c r="F9" s="11" t="inlineStr">
        <is>
          <t>at FVTPL; (iv) the absence of share of result of an associate; (v) the decrease in administrative expenses; and (vi) the reversal of impairment losses under ECL model during the year compared with the recognition of impairment losses under ECL last year. Further, the profit before interest and tax for the year was HK$6.4 million (2025: HK$37.0 million) and the profit and total comprehensive income for the year was HK$7.5 million (2025: HK$35.1 million). The Group’s net profit margin before interest and tax and net profit margin</t>
        </is>
      </c>
    </row>
    <row r="10">
      <c r="A10" s="8" t="inlineStr">
        <is>
          <t>Impairment Testing</t>
        </is>
      </c>
      <c r="B10" s="8" t="inlineStr">
        <is>
          <t>減值測試</t>
        </is>
      </c>
      <c r="C10" s="19" t="inlineStr">
        <is>
          <t>high</t>
        </is>
      </c>
      <c r="D10" s="11" t="inlineStr">
        <is>
          <t>impairment loss</t>
        </is>
      </c>
      <c r="E10" s="11" t="inlineStr">
        <is>
          <t>PDF p.50 (印刷頁 49)</t>
        </is>
      </c>
      <c r="F10" s="11" t="inlineStr">
        <is>
          <t>ervices (826,265) (1,212,510) Gross profit 24,888 62,720 Other income 7 3,627 4,464 Other gains and losses 7 1,187 4,495 Reversal of impairment losses (impairment losses) under expected credit loss model, net 8 2,497 (3,922) Administrative expenses (23,133) (30,619) Finance costs 9 (54) (9) Share of result of an associate – 3,318 Profit before taxation 10 9,012 40,447 Income tax expense 11 (1,486) (5,394) Profit and total comprehensive income for the year 7,526 35,053 Profit and total comprehensive income for the year attributa</t>
        </is>
      </c>
    </row>
    <row r="11">
      <c r="A11" s="8" t="inlineStr">
        <is>
          <t>Impairment Testing</t>
        </is>
      </c>
      <c r="B11" s="8" t="inlineStr">
        <is>
          <t>減值測試</t>
        </is>
      </c>
      <c r="C11" s="19" t="inlineStr">
        <is>
          <t>high</t>
        </is>
      </c>
      <c r="D11" s="11" t="inlineStr">
        <is>
          <t>impairment loss</t>
        </is>
      </c>
      <c r="E11" s="11" t="inlineStr">
        <is>
          <t>PDF p.53 (印刷頁 52)</t>
        </is>
      </c>
      <c r="F11" s="11" t="inlineStr">
        <is>
          <t>ir value of financial assets at fair value through profit or loss (“FVTPL”) 426 (4,940) Interest income (2,661) (3,483) (Reversal of impairment losses) impairment losses under expected credit loss model, net (2,497) 3,922 Finance costs 54 9 Share of result of an associate – (3,318) Gain on disposal of plant and equipment (625) (58) Loss on disposal of equity interest in an associate – 707 Operating cash flows before movements in working capital 5,365 34,862 Decrease (increase) in trade and other receivables 71,241 (8,422) Decre</t>
        </is>
      </c>
    </row>
    <row r="12">
      <c r="A12" s="8" t="inlineStr">
        <is>
          <t>Impairment Testing</t>
        </is>
      </c>
      <c r="B12" s="8" t="inlineStr">
        <is>
          <t>減值測試</t>
        </is>
      </c>
      <c r="C12" s="19" t="inlineStr">
        <is>
          <t>high</t>
        </is>
      </c>
      <c r="D12" s="11" t="inlineStr">
        <is>
          <t>impairment loss</t>
        </is>
      </c>
      <c r="E12" s="11" t="inlineStr">
        <is>
          <t>PDF p.61 (印刷頁 60)</t>
        </is>
      </c>
      <c r="F12" s="11" t="inlineStr">
        <is>
          <t>ment are stated in the consolidated statement of financial position at cost less subsequent accumulated depreciation and accumulated impairment losses, if any. Depreciation is recognised to write off the cost of assets less their residual values over their estimated useful lives, using the straight-line method. The estimated useful lives, residual values and depreciation method are reviewed at the end of the reporting period, with the effect of any changes in estimate accounted for on a prospective basis. An item of plant and e</t>
        </is>
      </c>
    </row>
    <row r="13">
      <c r="A13" s="8" t="inlineStr">
        <is>
          <t>Impairment Testing</t>
        </is>
      </c>
      <c r="B13" s="8" t="inlineStr">
        <is>
          <t>減值測試</t>
        </is>
      </c>
      <c r="C13" s="19" t="inlineStr">
        <is>
          <t>high</t>
        </is>
      </c>
      <c r="D13" s="11" t="inlineStr">
        <is>
          <t>impairment loss</t>
        </is>
      </c>
      <c r="E13" s="11" t="inlineStr">
        <is>
          <t>PDF p.71 (印刷頁 70)</t>
        </is>
      </c>
      <c r="F13" s="11" t="inlineStr">
        <is>
          <t>Construction Innovation and Technology Fund of HK$1,088,000 (2025: nil) as granted by Construction Industry Council. 8. (Reversal of Impairment Losses) Impairment Losses Under Expected Credit Loss Model, Net 2026 2025 HK$’000 HK$’000 Impairment losses (reversed) recognised on: Trade receivables (1,236) 660 Contract assets (1,261) 3,262 (2,497) 3,922 Details of impairment assessment for the year ended 31 March 2026 are set out in note 28. 9. Finance Costs 2026 2025 HK$’000 HK$’000 Interest on lease liabilities 54 9 Hong Kong ZCl</t>
        </is>
      </c>
    </row>
    <row r="14">
      <c r="A14" s="8" t="inlineStr">
        <is>
          <t>Impairment Testing</t>
        </is>
      </c>
      <c r="B14" s="8" t="inlineStr">
        <is>
          <t>減值測試</t>
        </is>
      </c>
      <c r="C14" s="19" t="inlineStr">
        <is>
          <t>high</t>
        </is>
      </c>
      <c r="D14" s="11" t="inlineStr">
        <is>
          <t>impairment loss</t>
        </is>
      </c>
      <c r="E14" s="11" t="inlineStr">
        <is>
          <t>PDF p.72 (印刷頁 71)</t>
        </is>
      </c>
      <c r="F14" s="11" t="inlineStr">
        <is>
          <t>– audit services 1,198 1,198 Depreciation of plant and equipment 816 1,301 Depreciation of right-of-use assets 840 275 (Reversal of impairment losses) impairment losses under ECL model, net – Trade receivables (1,236) 660 – Contract assets (1,261) 3,262 (2,497) 3,922 11. Income Tax Expense 2026 2025 HK$’000 HK$’000 The income tax expense comprises: Hong Kong Profits Tax: Current tax 1,235 5,902 Deferred tax (note 23) 251 (508) 1,486 5,394 Under the two-tiered profits tax rates regime of Hong Kong Profits Tax, the first HK$2 mi</t>
        </is>
      </c>
    </row>
    <row r="15">
      <c r="A15" s="8" t="inlineStr">
        <is>
          <t>Impairment Testing</t>
        </is>
      </c>
      <c r="B15" s="8" t="inlineStr">
        <is>
          <t>減值測試</t>
        </is>
      </c>
      <c r="C15" s="19" t="inlineStr">
        <is>
          <t>high</t>
        </is>
      </c>
      <c r="D15" s="11" t="inlineStr">
        <is>
          <t>impairment loss</t>
        </is>
      </c>
      <c r="E15" s="11" t="inlineStr">
        <is>
          <t>PDF p.90 (印刷頁 89)</t>
        </is>
      </c>
      <c r="F15" s="11" t="inlineStr">
        <is>
          <t>it- (credit- (not creditimpaired) impaired) impaired) Total HK$’000 HK$’000 HK$’000 HK$’000 At 1 April 2024 1,667 676 7,925 10,268 Impairment loss recognised 2,342 – 11,187 13,529 Impairment loss reversed (1,667) (15) (7,925) (9,607) Transfer to credit-impaired (1,611) 1,611 – – At 31 March 2025 731 2,272 11,187 14,190 Impairment loss recognised 1,085 – 9,926 11,011 Impairment loss reversed (438) (1,883) (11,187) (13,508) At 31 March 2026 1,378 389 9,926 11,693 The Group writes off a trade receivable when there is information</t>
        </is>
      </c>
    </row>
    <row r="16">
      <c r="A16" s="8" t="inlineStr">
        <is>
          <t>Intangible Assets &amp; Goodwill</t>
        </is>
      </c>
      <c r="B16" s="8" t="inlineStr">
        <is>
          <t>無形資產及商譽</t>
        </is>
      </c>
      <c r="C16" s="19" t="inlineStr">
        <is>
          <t>high</t>
        </is>
      </c>
      <c r="D16" s="11" t="inlineStr">
        <is>
          <t>goodwill</t>
        </is>
      </c>
      <c r="E16" s="11" t="inlineStr">
        <is>
          <t>PDF p.60 (印刷頁 59)</t>
        </is>
      </c>
      <c r="F16" s="11" t="inlineStr">
        <is>
          <t>erences. In addition, deferred tax liabilities are not recognised if the temporary difference arises from the initial recognition of goodwill. The carrying amount of deferred tax assets is reviewed at the end of each reporting period and reduced to the extent that it is no longer probable that sufficient taxable profits will be available to allow all or part of the asset to be recovered. Deferred tax assets and liabilities are measured at the tax rates that are expected to apply in the period in which the liability is settled o</t>
        </is>
      </c>
    </row>
    <row r="17">
      <c r="A17" s="8" t="inlineStr">
        <is>
          <t>ESG Data</t>
        </is>
      </c>
      <c r="B17" s="8" t="inlineStr">
        <is>
          <t>環境社會及管治數據</t>
        </is>
      </c>
      <c r="C17" s="8" t="inlineStr">
        <is>
          <t>medium</t>
        </is>
      </c>
      <c r="D17" s="11" t="inlineStr">
        <is>
          <t>ESG</t>
        </is>
      </c>
      <c r="E17" s="11" t="inlineStr">
        <is>
          <t>PDF p.26 (印刷頁 25)</t>
        </is>
      </c>
      <c r="F17" s="11" t="inlineStr">
        <is>
          <t>framework. The process used to identify, evaluate and manage the significant risks (including environmental, social and governance (“ESG”) risks) of the Group is embedded in the Group’s business operations. Organisational structure is well established with clearly defined authorities and responsibilities, and the Group has developed various risk management and internal control policies and procedures for employees to follow. The objectives of the risk management and internal control framework of the Group are to identify and ma</t>
        </is>
      </c>
    </row>
    <row r="18">
      <c r="A18" s="8" t="inlineStr">
        <is>
          <t>ESG Data</t>
        </is>
      </c>
      <c r="B18" s="8" t="inlineStr">
        <is>
          <t>環境社會及管治數據</t>
        </is>
      </c>
      <c r="C18" s="8" t="inlineStr">
        <is>
          <t>medium</t>
        </is>
      </c>
      <c r="D18" s="11" t="inlineStr">
        <is>
          <t>ESG</t>
        </is>
      </c>
      <c r="E18" s="11" t="inlineStr">
        <is>
          <t>PDF p.27 (印刷頁 26)</t>
        </is>
      </c>
      <c r="F18" s="11" t="inlineStr">
        <is>
          <t>porate Governance Report For the year ended 31 March 2026, Global Vision has conducted an annual review to identify risks (including ESG risks) that could potentially impact the businesses of the Group, reviewed key operational and financial processes as well as regulatory compliance and information security, and assessed the adequacy and effectiveness of the Group’s risk management and internal control systems. Global Vision has reviewed the relevant policies and procedures of the Group, conducted collaborative interviews and</t>
        </is>
      </c>
    </row>
    <row r="19">
      <c r="A19" s="8" t="inlineStr">
        <is>
          <t>Segment Information</t>
        </is>
      </c>
      <c r="B19" s="8" t="inlineStr">
        <is>
          <t>分部資料</t>
        </is>
      </c>
      <c r="C19" s="8" t="inlineStr">
        <is>
          <t>medium</t>
        </is>
      </c>
      <c r="D19" s="11" t="inlineStr">
        <is>
          <t>segment information</t>
        </is>
      </c>
      <c r="E19" s="11" t="inlineStr">
        <is>
          <t>PDF p.35 (印刷頁 34)</t>
        </is>
      </c>
      <c r="F19" s="11" t="inlineStr">
        <is>
          <t>he Company’s reserves available for distribution to the shareholders as at 31 March 2026 amounted to approximately HK$197.9 million. Segment Information An analysis of the Group’s performance for the year by operating segment is set out in note 6 to the consolidated financial statements. Relationship with Key Stakeholders Major Customers Customers are substantially the main contractors of construction projects in Hong Kong. For the year ended 31 March 2026, the percentage of total revenue attributable to the largest customer am</t>
        </is>
      </c>
    </row>
    <row r="20">
      <c r="A20" s="8" t="inlineStr">
        <is>
          <t>Segment Information</t>
        </is>
      </c>
      <c r="B20" s="8" t="inlineStr">
        <is>
          <t>分部資料</t>
        </is>
      </c>
      <c r="C20" s="8" t="inlineStr">
        <is>
          <t>medium</t>
        </is>
      </c>
      <c r="D20" s="11" t="inlineStr">
        <is>
          <t>segment information</t>
        </is>
      </c>
      <c r="E20" s="11" t="inlineStr">
        <is>
          <t>PDF p.70 (印刷頁 69)</t>
        </is>
      </c>
      <c r="F20" s="11" t="inlineStr">
        <is>
          <t>erformance obligations will be recognised as revenue over 1 to 3 years (2025: 1 to 3 years) from the end of the reporting period. 6. Segment Information The Group focuses primarily on the provision of building construction services and RMAA Services in Hong Kong. The operation of the Group constitutes one single operating and reportable segment. The management of the Group, being the chief operating decision maker of the Group, reviews the revenue and operating results of the Group as a whole which is prepared based on the same</t>
        </is>
      </c>
    </row>
    <row r="21">
      <c r="A21" s="8" t="inlineStr">
        <is>
          <t>Share-based Payment</t>
        </is>
      </c>
      <c r="B21" s="8" t="inlineStr">
        <is>
          <t>以股份為基礎的付款</t>
        </is>
      </c>
      <c r="C21" s="8" t="inlineStr">
        <is>
          <t>medium</t>
        </is>
      </c>
      <c r="D21" s="11" t="inlineStr">
        <is>
          <t>share option</t>
        </is>
      </c>
      <c r="E21" s="11" t="inlineStr">
        <is>
          <t>PDF p.37 (印刷頁 36)</t>
        </is>
      </c>
      <c r="F21" s="11" t="inlineStr">
        <is>
          <t>up are set out in note 13 to the consolidated financial statements. Directors’ Rights to Acquire Shares or Debentures Other than the share option scheme of the Company as disclosed in the paragraph headed “Share Option Scheme” in the “Report of the Directors”, at no time during the year was the Company or any of its subsidiaries a party to any arrangements to enable any Directors or their spouses or minor children to acquire benefits by means of the acquisition of the Shares in, or debentures of, the Company or any other body c</t>
        </is>
      </c>
    </row>
    <row r="22">
      <c r="A22" s="8" t="inlineStr">
        <is>
          <t>Share-based Payment</t>
        </is>
      </c>
      <c r="B22" s="8" t="inlineStr">
        <is>
          <t>以股份為基礎的付款</t>
        </is>
      </c>
      <c r="C22" s="8" t="inlineStr">
        <is>
          <t>medium</t>
        </is>
      </c>
      <c r="D22" s="11" t="inlineStr">
        <is>
          <t>share option</t>
        </is>
      </c>
      <c r="E22" s="11" t="inlineStr">
        <is>
          <t>PDF p.40 (印刷頁 39)</t>
        </is>
      </c>
      <c r="F22" s="11" t="inlineStr">
        <is>
          <t>Report of the Directors Share Option Scheme The share option scheme of the Company (the “Share Option Scheme”) was adopted on 23 January 2018, amended and modified by the resolutions of the Board on 16 December 2019. The Share Option Scheme has a life of 10 years commencing on 13 February 2018 (the “GEM Listing Date”), which will expire on 12 February 2028. As at the date of this annual report, the remaining life of the</t>
        </is>
      </c>
    </row>
    <row r="23">
      <c r="A23" s="8" t="inlineStr">
        <is>
          <t>Share-based Payment</t>
        </is>
      </c>
      <c r="B23" s="8" t="inlineStr">
        <is>
          <t>以股份為基礎的付款</t>
        </is>
      </c>
      <c r="C23" s="8" t="inlineStr">
        <is>
          <t>medium</t>
        </is>
      </c>
      <c r="D23" s="11" t="inlineStr">
        <is>
          <t>share option</t>
        </is>
      </c>
      <c r="E23" s="11" t="inlineStr">
        <is>
          <t>PDF p.41 (印刷頁 40)</t>
        </is>
      </c>
      <c r="F23" s="11" t="inlineStr">
        <is>
          <t>fore the shareholders’ approval mentioned in (a) above. (d) Exercise price of Shares The exercise price for any Share subject to the Share Option Scheme will be a price determined by the Board and notified to each grantee and shall be the highest of (i) the closing price of the Shares as stated in the Stock Exchange’s daily quotations sheet on the date of grant of the relevant option, which must be a trading day; (ii) an amount equivalent to the average closing price of the Shares as stated in the Stock Exchange’s daily quotati</t>
        </is>
      </c>
    </row>
    <row r="24">
      <c r="A24" s="8" t="inlineStr">
        <is>
          <t>Share-based Payment</t>
        </is>
      </c>
      <c r="B24" s="8" t="inlineStr">
        <is>
          <t>以股份為基礎的付款</t>
        </is>
      </c>
      <c r="C24" s="8" t="inlineStr">
        <is>
          <t>medium</t>
        </is>
      </c>
      <c r="D24" s="11" t="inlineStr">
        <is>
          <t>share option</t>
        </is>
      </c>
      <c r="E24" s="11" t="inlineStr">
        <is>
          <t>PDF p.42 (印刷頁 41)</t>
        </is>
      </c>
      <c r="F24" s="11" t="inlineStr">
        <is>
          <t>maximum number of shares which may be issued upon the exercise of all outstanding options granted and yet to be exercised under the Share Option Scheme and any other share option schemes involving the issue or grant of options or similar rights over the shares or other securities by the Company must not, in aggregate, exceed 30% of the shares in issue from time to time. Notwithstanding anything contrary to the terms of the Share Option Scheme, no options may be granted under the Share Option Scheme or any other share option sc</t>
        </is>
      </c>
    </row>
    <row r="25">
      <c r="A25" s="8" t="inlineStr">
        <is>
          <t>Related Party Transactions</t>
        </is>
      </c>
      <c r="B25" s="8" t="inlineStr">
        <is>
          <t>關聯方交易</t>
        </is>
      </c>
      <c r="C25" s="8" t="inlineStr">
        <is>
          <t>low</t>
        </is>
      </c>
      <c r="D25" s="11" t="inlineStr">
        <is>
          <t>related party</t>
        </is>
      </c>
      <c r="E25" s="11" t="inlineStr">
        <is>
          <t>PDF p.42 (印刷頁 41)</t>
        </is>
      </c>
      <c r="F25" s="11" t="inlineStr">
        <is>
          <t>r, or subsisted at the end of the year. Directors’ Interests in Transactions, Arrangements or Contracts of Significance Save for the related party transactions disclosed in note 30 to the consolidated financial statements, no other transactions, arrangements or contracts of significance in relation to the Group’s business to which the Company or any of its subsidiaries was a party and in which a Director or any entity connected with a Director has or had a material interest, whether directly or indirectly subsisted at the end o</t>
        </is>
      </c>
    </row>
    <row r="26">
      <c r="A26" s="8" t="inlineStr">
        <is>
          <t>Related Party Transactions</t>
        </is>
      </c>
      <c r="B26" s="8" t="inlineStr">
        <is>
          <t>關聯方交易</t>
        </is>
      </c>
      <c r="C26" s="8" t="inlineStr">
        <is>
          <t>low</t>
        </is>
      </c>
      <c r="D26" s="11" t="inlineStr">
        <is>
          <t>related party</t>
        </is>
      </c>
      <c r="E26" s="11" t="inlineStr">
        <is>
          <t>PDF p.43 (印刷頁 42)</t>
        </is>
      </c>
      <c r="F26" s="11" t="inlineStr">
        <is>
          <t>may compete with the business of the Group and any other conflict of interest which any such person has or may have with the Group. Related Party Transactions Details of the related party transactions entered into by the Group are set out in note 30 to the consolidated financial statements. Such related party transactions are continuing connected transactions exempt from the reporting, annual review, announcement and independent shareholders’ approval requirements under Chapter 14A of the Listing Rules. Connected Transaction a</t>
        </is>
      </c>
    </row>
    <row r="27">
      <c r="A27" s="8" t="inlineStr">
        <is>
          <t>Related Party Transactions</t>
        </is>
      </c>
      <c r="B27" s="8" t="inlineStr">
        <is>
          <t>關聯方交易</t>
        </is>
      </c>
      <c r="C27" s="8" t="inlineStr">
        <is>
          <t>low</t>
        </is>
      </c>
      <c r="D27" s="11" t="inlineStr">
        <is>
          <t>related party</t>
        </is>
      </c>
      <c r="E27" s="11" t="inlineStr">
        <is>
          <t>PDF p.94 (印刷頁 93)</t>
        </is>
      </c>
      <c r="F27" s="11" t="inlineStr">
        <is>
          <t>Notes to the Consolidated Financial Statements For the year ended 31 March 2026 30. Related Party Transactions Other than as disclosed elsewhere in the consolidated financial statements, the Group has the following transactions with related parties: Compensation of key management personnel The remuneration of key management personnel (including the Directors) of the Group during the year is as follows: 2026 2025 HK$’000 HK$’000 Fee 360 489 Salaries and other allowances 10,953 16,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pane ySplit="30" topLeftCell="A3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Cash and Equivalents</t>
        </is>
      </c>
    </row>
    <row r="16">
      <c r="A16" s="8" t="inlineStr">
        <is>
          <t>Balance Sheet</t>
        </is>
      </c>
      <c r="B16" s="8" t="inlineStr">
        <is>
          <t>Inventories</t>
        </is>
      </c>
    </row>
    <row r="17">
      <c r="A17" s="8" t="inlineStr">
        <is>
          <t>Balance Sheet</t>
        </is>
      </c>
      <c r="B17" s="8" t="inlineStr">
        <is>
          <t>Goodwill</t>
        </is>
      </c>
    </row>
    <row r="18">
      <c r="A18" s="8" t="inlineStr">
        <is>
          <t>Balance Sheet</t>
        </is>
      </c>
      <c r="B18" s="8" t="inlineStr">
        <is>
          <t>Intangible Assets</t>
        </is>
      </c>
    </row>
    <row r="19">
      <c r="A19" s="8" t="inlineStr">
        <is>
          <t>Balance Sheet</t>
        </is>
      </c>
      <c r="B19" s="8" t="inlineStr">
        <is>
          <t>Investment Properties</t>
        </is>
      </c>
    </row>
    <row r="20">
      <c r="A20" s="8" t="inlineStr">
        <is>
          <t>Balance Sheet</t>
        </is>
      </c>
      <c r="B20" s="8" t="inlineStr">
        <is>
          <t>Property Plant and Equipment</t>
        </is>
      </c>
    </row>
    <row r="21">
      <c r="A21" s="8" t="inlineStr">
        <is>
          <t>Balance Sheet</t>
        </is>
      </c>
      <c r="B21" s="8" t="inlineStr">
        <is>
          <t>Total Liabilities</t>
        </is>
      </c>
    </row>
    <row r="22">
      <c r="A22" s="8" t="inlineStr">
        <is>
          <t>Balance Sheet</t>
        </is>
      </c>
      <c r="B22" s="8" t="inlineStr">
        <is>
          <t>Borrowings</t>
        </is>
      </c>
    </row>
    <row r="23">
      <c r="A23" s="8" t="inlineStr">
        <is>
          <t>Cash Flow</t>
        </is>
      </c>
      <c r="B23" s="8" t="inlineStr">
        <is>
          <t>Investing Cash Flow</t>
        </is>
      </c>
    </row>
    <row r="24">
      <c r="A24" s="8" t="inlineStr">
        <is>
          <t>Cash Flow</t>
        </is>
      </c>
      <c r="B24" s="8" t="inlineStr">
        <is>
          <t>Capital Expenditure</t>
        </is>
      </c>
    </row>
    <row r="27">
      <c r="A27" s="5" t="inlineStr">
        <is>
          <t>二、文字量過低的頁面(疑似掃描頁)</t>
        </is>
      </c>
    </row>
    <row r="28">
      <c r="A28" s="2" t="inlineStr">
        <is>
          <t>這些頁面幾乎抓不到文字,通常是掃描件或純圖表,建議人手翻閱或另行 OCR。</t>
        </is>
      </c>
    </row>
    <row r="30">
      <c r="A30" s="7" t="inlineStr">
        <is>
          <t>PDF 頁碼</t>
        </is>
      </c>
      <c r="B30" s="7" t="inlineStr">
        <is>
          <t>狀態</t>
        </is>
      </c>
    </row>
    <row r="31">
      <c r="A31"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2026-08-30T14:15:38Z</dcterms:created>
  <dcterms:modified xsi:type="dcterms:W3CDTF">2026-08-30T14:15:38Z</dcterms:modified>
</cp:coreProperties>
</file>
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0"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00841_CASSAVA_RES_20260731.pdf</t>
        </is>
      </c>
    </row>
    <row r="5">
      <c r="A5" s="3" t="inlineStr">
        <is>
          <t>產生時間 Generated</t>
        </is>
      </c>
      <c r="B5" s="4" t="inlineStr">
        <is>
          <t>2026-08-30 22:16</t>
        </is>
      </c>
    </row>
    <row r="6">
      <c r="A6" s="4" t="inlineStr"/>
      <c r="B6" s="4" t="inlineStr"/>
    </row>
    <row r="7">
      <c r="A7" s="3" t="inlineStr">
        <is>
          <t>總頁數 Total pages</t>
        </is>
      </c>
      <c r="B7" s="4" t="n">
        <v>99</v>
      </c>
    </row>
    <row r="8">
      <c r="A8" s="3" t="inlineStr">
        <is>
          <t>已擷取字元 Characters extracted</t>
        </is>
      </c>
      <c r="B8" s="4" t="n">
        <v>239917</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0</v>
      </c>
    </row>
    <row r="13">
      <c r="A13" s="3" t="inlineStr">
        <is>
          <t>財務科目擷取筆數 Financial line items</t>
        </is>
      </c>
      <c r="B13" s="4" t="n">
        <v>16</v>
      </c>
    </row>
    <row r="14">
      <c r="A14" s="3" t="inlineStr">
        <is>
          <t>主題段落擷取筆數 Topic extracts</t>
        </is>
      </c>
      <c r="B14" s="4" t="n">
        <v>46</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397,117 − -383,494 = 780,611</t>
        </is>
      </c>
    </row>
    <row r="20">
      <c r="A20" s="6" t="inlineStr">
        <is>
          <t>✓ 收入 − 銷售成本 = 毛利</t>
        </is>
      </c>
      <c r="B20" s="4" t="inlineStr">
        <is>
          <t>1,275,303 − 1,177,435 = 97,868 vs 毛利 97,868</t>
        </is>
      </c>
    </row>
    <row r="21">
      <c r="A21" s="6" t="inlineStr">
        <is>
          <t>✓ 除稅前溢利 ± 稅項 = 年內溢利</t>
        </is>
      </c>
      <c r="B21" s="4" t="inlineStr">
        <is>
          <t>-301 + 4,083 = 3,782 vs 3,782</t>
        </is>
      </c>
    </row>
    <row r="22">
      <c r="A22" s="6" t="inlineStr">
        <is>
          <t>✓ 三大報表應相鄰</t>
        </is>
      </c>
      <c r="B22" s="4" t="inlineStr">
        <is>
          <t>Income Statement: p.27、Balance Sheet: p.29、Cash Flow: p.32(相距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9" t="n">
        <v>1275303</v>
      </c>
      <c r="D5" s="10" t="n">
        <v>977903</v>
      </c>
      <c r="E5" s="11">
        <f>IF(ISERROR((C5-D5)/ABS(D5)),"",(C5-D5)/ABS(D5))</f>
        <v>0.3041201427953488</v>
      </c>
      <c r="F5" s="12" t="inlineStr">
        <is>
          <t>PDF p.27 (印刷頁 26)</t>
        </is>
      </c>
      <c r="G5" s="12" t="inlineStr">
        <is>
          <t>REVENUE 5 1,275,303 977,903</t>
        </is>
      </c>
    </row>
    <row r="6">
      <c r="A6" s="8" t="inlineStr">
        <is>
          <t>Income Statement</t>
        </is>
      </c>
      <c r="B6" s="8" t="inlineStr">
        <is>
          <t>Cost of Sales</t>
        </is>
      </c>
      <c r="C6" s="9" t="n">
        <v>-1177435</v>
      </c>
      <c r="D6" s="10" t="n">
        <v>-896753</v>
      </c>
      <c r="E6" s="11">
        <f>IF(ISERROR((C6-D6)/ABS(D6)),"",(C6-D6)/ABS(D6))</f>
        <v>-0.3129981165382218</v>
      </c>
      <c r="F6" s="12" t="inlineStr">
        <is>
          <t>PDF p.27 (印刷頁 26)</t>
        </is>
      </c>
      <c r="G6" s="12" t="inlineStr">
        <is>
          <t>Cost of sales (1,177,435) (896,753)</t>
        </is>
      </c>
    </row>
    <row r="7">
      <c r="A7" s="8" t="inlineStr">
        <is>
          <t>Income Statement</t>
        </is>
      </c>
      <c r="B7" s="8" t="inlineStr">
        <is>
          <t>Gross Profit</t>
        </is>
      </c>
      <c r="C7" s="9" t="n">
        <v>97868</v>
      </c>
      <c r="D7" s="10" t="n">
        <v>81150</v>
      </c>
      <c r="E7" s="11">
        <f>IF(ISERROR((C7-D7)/ABS(D7)),"",(C7-D7)/ABS(D7))</f>
        <v>0.20601355514479358</v>
      </c>
      <c r="F7" s="12" t="inlineStr">
        <is>
          <t>PDF p.27 (印刷頁 26)</t>
        </is>
      </c>
      <c r="G7" s="12" t="inlineStr">
        <is>
          <t>Gross profit 97,868 81,150</t>
        </is>
      </c>
    </row>
    <row r="8">
      <c r="A8" s="8" t="inlineStr">
        <is>
          <t>Income Statement</t>
        </is>
      </c>
      <c r="B8" s="8" t="inlineStr">
        <is>
          <t>Finance Costs</t>
        </is>
      </c>
      <c r="C8" s="9" t="n">
        <v>-36154</v>
      </c>
      <c r="D8" s="10" t="n">
        <v>-44736</v>
      </c>
      <c r="E8" s="11">
        <f>IF(ISERROR((C8-D8)/ABS(D8)),"",(C8-D8)/ABS(D8))</f>
        <v>0.1918365522174535</v>
      </c>
      <c r="F8" s="12" t="inlineStr">
        <is>
          <t>PDF p.27 (印刷頁 26)</t>
        </is>
      </c>
      <c r="G8" s="12" t="inlineStr">
        <is>
          <t>Finance costs 6 (36,154) (44,736)</t>
        </is>
      </c>
    </row>
    <row r="9">
      <c r="A9" s="8" t="inlineStr">
        <is>
          <t>Income Statement</t>
        </is>
      </c>
      <c r="B9" s="8" t="inlineStr">
        <is>
          <t>Profit Before Tax</t>
        </is>
      </c>
      <c r="C9" s="9" t="n">
        <v>-301</v>
      </c>
      <c r="D9" s="10" t="n">
        <v>-162045</v>
      </c>
      <c r="E9" s="11">
        <f>IF(ISERROR((C9-D9)/ABS(D9)),"",(C9-D9)/ABS(D9))</f>
        <v>0.9981424912832855</v>
      </c>
      <c r="F9" s="12" t="inlineStr">
        <is>
          <t>PDF p.27 (印刷頁 26)</t>
        </is>
      </c>
      <c r="G9" s="12" t="inlineStr">
        <is>
          <t>LOSS BEFORE TAX 7 (301) (162,045)</t>
        </is>
      </c>
    </row>
    <row r="10">
      <c r="A10" s="8" t="inlineStr">
        <is>
          <t>Income Statement</t>
        </is>
      </c>
      <c r="B10" s="8" t="inlineStr">
        <is>
          <t>Income Tax</t>
        </is>
      </c>
      <c r="C10" s="9" t="n">
        <v>4083</v>
      </c>
      <c r="D10" s="10" t="n">
        <v>-5976</v>
      </c>
      <c r="E10" s="11">
        <f>IF(ISERROR((C10-D10)/ABS(D10)),"",(C10-D10)/ABS(D10))</f>
        <v>1.6832329317269077</v>
      </c>
      <c r="F10" s="12" t="inlineStr">
        <is>
          <t>PDF p.27 (印刷頁 26)</t>
        </is>
      </c>
      <c r="G10" s="12" t="inlineStr">
        <is>
          <t>Income tax 10 4,083 (5,976)</t>
        </is>
      </c>
    </row>
    <row r="11">
      <c r="A11" s="8" t="inlineStr">
        <is>
          <t>Income Statement</t>
        </is>
      </c>
      <c r="B11" s="8" t="inlineStr">
        <is>
          <t>Profit for the Year</t>
        </is>
      </c>
      <c r="C11" s="9" t="n">
        <v>3782</v>
      </c>
      <c r="D11" s="10" t="n">
        <v>-168021</v>
      </c>
      <c r="E11" s="11">
        <f>IF(ISERROR((C11-D11)/ABS(D11)),"",(C11-D11)/ABS(D11))</f>
        <v>1.0225090911255141</v>
      </c>
      <c r="F11" s="12" t="inlineStr">
        <is>
          <t>PDF p.27 (印刷頁 26)</t>
        </is>
      </c>
      <c r="G11" s="12" t="inlineStr">
        <is>
          <t>PROFIT/(LOSS) FOR THE YEAR 3,782 (168,021)</t>
        </is>
      </c>
    </row>
    <row r="12">
      <c r="A12" s="8" t="inlineStr">
        <is>
          <t>Balance Sheet</t>
        </is>
      </c>
      <c r="B12" s="8" t="inlineStr">
        <is>
          <t>Property Plant and Equipment</t>
        </is>
      </c>
      <c r="C12" s="9" t="n">
        <v>761778</v>
      </c>
      <c r="D12" s="10" t="n">
        <v>721802</v>
      </c>
      <c r="E12" s="11">
        <f>IF(ISERROR((C12-D12)/ABS(D12)),"",(C12-D12)/ABS(D12))</f>
        <v>0.05538360935547421</v>
      </c>
      <c r="F12" s="12" t="inlineStr">
        <is>
          <t>PDF p.29 (印刷頁 28)</t>
        </is>
      </c>
      <c r="G12" s="12" t="inlineStr">
        <is>
          <t>Property, plant and equipment 12 761,778 721,802</t>
        </is>
      </c>
    </row>
    <row r="13">
      <c r="A13" s="8" t="inlineStr">
        <is>
          <t>Balance Sheet</t>
        </is>
      </c>
      <c r="B13" s="8" t="inlineStr">
        <is>
          <t>Investment Properties</t>
        </is>
      </c>
      <c r="C13" s="9" t="n">
        <v>208919</v>
      </c>
      <c r="D13" s="10" t="n">
        <v>185845</v>
      </c>
      <c r="E13" s="11">
        <f>IF(ISERROR((C13-D13)/ABS(D13)),"",(C13-D13)/ABS(D13))</f>
        <v>0.12415722779735801</v>
      </c>
      <c r="F13" s="12" t="inlineStr">
        <is>
          <t>PDF p.29 (印刷頁 28)</t>
        </is>
      </c>
      <c r="G13" s="12" t="inlineStr">
        <is>
          <t>Investment properties 13 208,919 185,845</t>
        </is>
      </c>
    </row>
    <row r="14">
      <c r="A14" s="8" t="inlineStr">
        <is>
          <t>Balance Sheet</t>
        </is>
      </c>
      <c r="B14" s="8" t="inlineStr">
        <is>
          <t>Inventories</t>
        </is>
      </c>
      <c r="C14" s="9" t="n">
        <v>172250</v>
      </c>
      <c r="D14" s="10" t="n">
        <v>335488</v>
      </c>
      <c r="E14" s="11">
        <f>IF(ISERROR((C14-D14)/ABS(D14)),"",(C14-D14)/ABS(D14))</f>
        <v>-0.48656881915299505</v>
      </c>
      <c r="F14" s="12" t="inlineStr">
        <is>
          <t>PDF p.29 (印刷頁 28)</t>
        </is>
      </c>
      <c r="G14" s="12" t="inlineStr">
        <is>
          <t>Inventories 16 172,250 335,488</t>
        </is>
      </c>
    </row>
    <row r="15">
      <c r="A15" s="8" t="inlineStr">
        <is>
          <t>Balance Sheet</t>
        </is>
      </c>
      <c r="B15" s="8" t="inlineStr">
        <is>
          <t>Cash and Equivalents</t>
        </is>
      </c>
      <c r="C15" s="9" t="n">
        <v>24761</v>
      </c>
      <c r="D15" s="10" t="n">
        <v>57804</v>
      </c>
      <c r="E15" s="11">
        <f>IF(ISERROR((C15-D15)/ABS(D15)),"",(C15-D15)/ABS(D15))</f>
        <v>-0.5716386409245034</v>
      </c>
      <c r="F15" s="12" t="inlineStr">
        <is>
          <t>PDF p.29 (印刷頁 28)</t>
        </is>
      </c>
      <c r="G15" s="12" t="inlineStr">
        <is>
          <t>Cash and cash equivalents 20 24,761 57,804</t>
        </is>
      </c>
    </row>
    <row r="16">
      <c r="A16" s="8" t="inlineStr">
        <is>
          <t>Balance Sheet</t>
        </is>
      </c>
      <c r="B16" s="8" t="inlineStr">
        <is>
          <t>Total Current Assets</t>
        </is>
      </c>
      <c r="C16" s="9" t="n">
        <v>397117</v>
      </c>
      <c r="D16" s="10" t="n">
        <v>712354</v>
      </c>
      <c r="E16" s="11">
        <f>IF(ISERROR((C16-D16)/ABS(D16)),"",(C16-D16)/ABS(D16))</f>
        <v>-0.44252857427627273</v>
      </c>
      <c r="F16" s="12" t="inlineStr">
        <is>
          <t>PDF p.29 (印刷頁 28)</t>
        </is>
      </c>
      <c r="G16" s="12" t="inlineStr">
        <is>
          <t>Total current assets 397,117 712,354</t>
        </is>
      </c>
    </row>
    <row r="17">
      <c r="A17" s="8" t="inlineStr">
        <is>
          <t>Balance Sheet</t>
        </is>
      </c>
      <c r="B17" s="8" t="inlineStr">
        <is>
          <t>Total Current Liabilities</t>
        </is>
      </c>
      <c r="C17" s="9" t="n">
        <v>-383494</v>
      </c>
      <c r="D17" s="10" t="n">
        <v>-1044633</v>
      </c>
      <c r="E17" s="11">
        <f>IF(ISERROR((C17-D17)/ABS(D17)),"",(C17-D17)/ABS(D17))</f>
        <v>0.6328911684773504</v>
      </c>
      <c r="F17" s="12" t="inlineStr">
        <is>
          <t>PDF p.29 (印刷頁 28)</t>
        </is>
      </c>
      <c r="G17" s="12" t="inlineStr">
        <is>
          <t>Total current liabilities (383,494) (1,044,633)</t>
        </is>
      </c>
    </row>
    <row r="18">
      <c r="A18" s="8" t="inlineStr">
        <is>
          <t>Balance Sheet</t>
        </is>
      </c>
      <c r="B18" s="8" t="inlineStr">
        <is>
          <t>Total Equity</t>
        </is>
      </c>
      <c r="C18" s="9" t="n">
        <v>403838</v>
      </c>
      <c r="D18" s="10" t="n">
        <v>349482</v>
      </c>
      <c r="E18" s="11">
        <f>IF(ISERROR((C18-D18)/ABS(D18)),"",(C18-D18)/ABS(D18))</f>
        <v>0.15553304605101265</v>
      </c>
      <c r="F18" s="12" t="inlineStr">
        <is>
          <t>PDF p.29 (印刷頁 28)</t>
        </is>
      </c>
      <c r="G18" s="12" t="inlineStr">
        <is>
          <t>Total equity 403,838 349,482</t>
        </is>
      </c>
    </row>
    <row r="19">
      <c r="A19" s="8" t="inlineStr">
        <is>
          <t>Cash Flow</t>
        </is>
      </c>
      <c r="B19" s="8" t="inlineStr">
        <is>
          <t>Operating Cash Flow</t>
        </is>
      </c>
      <c r="C19" s="9" t="n">
        <v>289979</v>
      </c>
      <c r="D19" s="10" t="n">
        <v>-204292</v>
      </c>
      <c r="E19" s="11">
        <f>IF(ISERROR((C19-D19)/ABS(D19)),"",(C19-D19)/ABS(D19))</f>
        <v>2.4194339474869304</v>
      </c>
      <c r="F19" s="12" t="inlineStr">
        <is>
          <t>PDF p.32 (印刷頁 31)</t>
        </is>
      </c>
      <c r="G19" s="12" t="inlineStr">
        <is>
          <t>Net cash flows from/(used in) operating activities 289,979 (204,292)</t>
        </is>
      </c>
    </row>
    <row r="20">
      <c r="A20" s="8" t="inlineStr">
        <is>
          <t>Cash Flow</t>
        </is>
      </c>
      <c r="B20" s="8" t="inlineStr">
        <is>
          <t>Capital Expenditure</t>
        </is>
      </c>
      <c r="C20" s="9" t="n">
        <v>-37205</v>
      </c>
      <c r="D20" s="10" t="n">
        <v>-35793</v>
      </c>
      <c r="E20" s="11">
        <f>IF(ISERROR((C20-D20)/ABS(D20)),"",(C20-D20)/ABS(D20))</f>
        <v>-0.03944905428435728</v>
      </c>
      <c r="F20" s="12" t="inlineStr">
        <is>
          <t>PDF p.32 (印刷頁 31)</t>
        </is>
      </c>
      <c r="G20" s="12" t="inlineStr">
        <is>
          <t>Purchase of property, plant and equipment 12 (37,205) (35,793)</t>
        </is>
      </c>
    </row>
    <row r="22">
      <c r="A22"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3">
        <f>IF(ISERROR(INDEX('Financials 財務數據'!$C$5:$C$20,MATCH("Gross Profit",'Financials 財務數據'!$B$5:$B$20,0))/INDEX('Financials 財務數據'!$C$5:$C$20,MATCH("Revenue",'Financials 財務數據'!$B$5:$B$20,0))),"n/a",INDEX('Financials 財務數據'!$C$5:$C$20,MATCH("Gross Profit",'Financials 財務數據'!$B$5:$B$20,0))/INDEX('Financials 財務數據'!$C$5:$C$20,MATCH("Revenue",'Financials 財務數據'!$B$5:$B$20,0)))</f>
        <v>0.07674097841846213</v>
      </c>
      <c r="C5" s="13">
        <f>IF(ISERROR(INDEX('Financials 財務數據'!$D$5:$D$20,MATCH("Gross Profit",'Financials 財務數據'!$B$5:$B$20,0))/INDEX('Financials 財務數據'!$D$5:$D$20,MATCH("Revenue",'Financials 財務數據'!$B$5:$B$20,0))),"n/a",INDEX('Financials 財務數據'!$D$5:$D$20,MATCH("Gross Profit",'Financials 財務數據'!$B$5:$B$20,0))/INDEX('Financials 財務數據'!$D$5:$D$20,MATCH("Revenue",'Financials 財務數據'!$B$5:$B$20,0)))</f>
        <v>0.08298369061144101</v>
      </c>
      <c r="D5" s="2" t="inlineStr">
        <is>
          <t>毛利 ÷ 收入</t>
        </is>
      </c>
    </row>
    <row r="6">
      <c r="A6" s="4" t="inlineStr">
        <is>
          <t>Net Margin 淨利率</t>
        </is>
      </c>
      <c r="B6" s="13">
        <f>IF(ISERROR(INDEX('Financials 財務數據'!$C$5:$C$20,MATCH("Profit for the Year",'Financials 財務數據'!$B$5:$B$20,0))/INDEX('Financials 財務數據'!$C$5:$C$20,MATCH("Revenue",'Financials 財務數據'!$B$5:$B$20,0))),"n/a",INDEX('Financials 財務數據'!$C$5:$C$20,MATCH("Profit for the Year",'Financials 財務數據'!$B$5:$B$20,0))/INDEX('Financials 財務數據'!$C$5:$C$20,MATCH("Revenue",'Financials 財務數據'!$B$5:$B$20,0)))</f>
        <v>0.00296556975087489</v>
      </c>
      <c r="C6" s="13">
        <f>IF(ISERROR(INDEX('Financials 財務數據'!$D$5:$D$20,MATCH("Profit for the Year",'Financials 財務數據'!$B$5:$B$20,0))/INDEX('Financials 財務數據'!$D$5:$D$20,MATCH("Revenue",'Financials 財務數據'!$B$5:$B$20,0))),"n/a",INDEX('Financials 財務數據'!$D$5:$D$20,MATCH("Profit for the Year",'Financials 財務數據'!$B$5:$B$20,0))/INDEX('Financials 財務數據'!$D$5:$D$20,MATCH("Revenue",'Financials 財務數據'!$B$5:$B$20,0)))</f>
        <v>-0.1718176547162653</v>
      </c>
      <c r="D6" s="2" t="inlineStr">
        <is>
          <t>年內溢利 ÷ 收入</t>
        </is>
      </c>
    </row>
    <row r="7">
      <c r="A7" s="4" t="inlineStr">
        <is>
          <t>Current Ratio 流動比率</t>
        </is>
      </c>
      <c r="B7" s="14">
        <f>IF(ISERROR(INDEX('Financials 財務數據'!$C$5:$C$20,MATCH("Total Current Assets",'Financials 財務數據'!$B$5:$B$20,0))/INDEX('Financials 財務數據'!$C$5:$C$20,MATCH("Total Current Liabilities",'Financials 財務數據'!$B$5:$B$20,0))),"n/a",INDEX('Financials 財務數據'!$C$5:$C$20,MATCH("Total Current Assets",'Financials 財務數據'!$B$5:$B$20,0))/INDEX('Financials 財務數據'!$C$5:$C$20,MATCH("Total Current Liabilities",'Financials 財務數據'!$B$5:$B$20,0)))</f>
        <v>-1.0355233719432377</v>
      </c>
      <c r="C7" s="14">
        <f>IF(ISERROR(INDEX('Financials 財務數據'!$D$5:$D$20,MATCH("Total Current Assets",'Financials 財務數據'!$B$5:$B$20,0))/INDEX('Financials 財務數據'!$D$5:$D$20,MATCH("Total Current Liabilities",'Financials 財務數據'!$B$5:$B$20,0))),"n/a",INDEX('Financials 財務數據'!$D$5:$D$20,MATCH("Total Current Assets",'Financials 財務數據'!$B$5:$B$20,0))/INDEX('Financials 財務數據'!$D$5:$D$20,MATCH("Total Current Liabilities",'Financials 財務數據'!$B$5:$B$20,0)))</f>
        <v>-0.6819179558754127</v>
      </c>
      <c r="D7" s="2" t="inlineStr">
        <is>
          <t>流動資產 ÷ 流動負債</t>
        </is>
      </c>
    </row>
    <row r="8">
      <c r="A8" s="4" t="inlineStr">
        <is>
          <t>Debt / Equity 負債權益比</t>
        </is>
      </c>
      <c r="B8" s="14" t="str">
        <f>IF(ISERROR(INDEX('Financials 財務數據'!$C$5:$C$20,MATCH("Total Liabilities",'Financials 財務數據'!$B$5:$B$20,0))/INDEX('Financials 財務數據'!$C$5:$C$20,MATCH("Total Equity",'Financials 財務數據'!$B$5:$B$20,0))),"n/a",INDEX('Financials 財務數據'!$C$5:$C$20,MATCH("Total Liabilities",'Financials 財務數據'!$B$5:$B$20,0))/INDEX('Financials 財務數據'!$C$5:$C$20,MATCH("Total Equity",'Financials 財務數據'!$B$5:$B$20,0)))</f>
        <v>n/a</v>
      </c>
      <c r="C8" s="14" t="str">
        <f>IF(ISERROR(INDEX('Financials 財務數據'!$D$5:$D$20,MATCH("Total Liabilities",'Financials 財務數據'!$B$5:$B$20,0))/INDEX('Financials 財務數據'!$D$5:$D$20,MATCH("Total Equity",'Financials 財務數據'!$B$5:$B$20,0))),"n/a",INDEX('Financials 財務數據'!$D$5:$D$20,MATCH("Total Liabilities",'Financials 財務數據'!$B$5:$B$20,0))/INDEX('Financials 財務數據'!$D$5:$D$20,MATCH("Total Equity",'Financials 財務數據'!$B$5:$B$20,0)))</f>
        <v>n/a</v>
      </c>
      <c r="D8" s="2" t="inlineStr">
        <is>
          <t>總負債 ÷ 總權益</t>
        </is>
      </c>
    </row>
    <row r="9">
      <c r="A9" s="4" t="inlineStr">
        <is>
          <t>Goodwill / Total Assets</t>
        </is>
      </c>
      <c r="B9" s="13" t="str">
        <f>IF(ISERROR(INDEX('Financials 財務數據'!$C$5:$C$20,MATCH("Goodwill",'Financials 財務數據'!$B$5:$B$20,0))/INDEX('Financials 財務數據'!$C$5:$C$20,MATCH("Total Assets",'Financials 財務數據'!$B$5:$B$20,0))),"n/a",INDEX('Financials 財務數據'!$C$5:$C$20,MATCH("Goodwill",'Financials 財務數據'!$B$5:$B$20,0))/INDEX('Financials 財務數據'!$C$5:$C$20,MATCH("Total Assets",'Financials 財務數據'!$B$5:$B$20,0)))</f>
        <v>n/a</v>
      </c>
      <c r="C9" s="13" t="str">
        <f>IF(ISERROR(INDEX('Financials 財務數據'!$D$5:$D$20,MATCH("Goodwill",'Financials 財務數據'!$B$5:$B$20,0))/INDEX('Financials 財務數據'!$D$5:$D$20,MATCH("Total Assets",'Financials 財務數據'!$B$5:$B$20,0))),"n/a",INDEX('Financials 財務數據'!$D$5:$D$20,MATCH("Goodwill",'Financials 財務數據'!$B$5:$B$20,0))/INDEX('Financials 財務數據'!$D$5:$D$20,MATCH("Total Assets",'Financials 財務數據'!$B$5:$B$20,0)))</f>
        <v>n/a</v>
      </c>
      <c r="D9" s="2" t="inlineStr">
        <is>
          <t>商譽佔總資產比重 — 減值風險指標</t>
        </is>
      </c>
    </row>
    <row r="10">
      <c r="A10" s="4" t="inlineStr">
        <is>
          <t>Intangibles / Total Assets</t>
        </is>
      </c>
      <c r="B10" s="13" t="str">
        <f>IF(ISERROR(INDEX('Financials 財務數據'!$C$5:$C$20,MATCH("Intangible Assets",'Financials 財務數據'!$B$5:$B$20,0))/INDEX('Financials 財務數據'!$C$5:$C$20,MATCH("Total Assets",'Financials 財務數據'!$B$5:$B$20,0))),"n/a",INDEX('Financials 財務數據'!$C$5:$C$20,MATCH("Intangible Assets",'Financials 財務數據'!$B$5:$B$20,0))/INDEX('Financials 財務數據'!$C$5:$C$20,MATCH("Total Assets",'Financials 財務數據'!$B$5:$B$20,0)))</f>
        <v>n/a</v>
      </c>
      <c r="C10" s="13" t="str">
        <f>IF(ISERROR(INDEX('Financials 財務數據'!$D$5:$D$20,MATCH("Intangible Assets",'Financials 財務數據'!$B$5:$B$20,0))/INDEX('Financials 財務數據'!$D$5:$D$20,MATCH("Total Assets",'Financials 財務數據'!$B$5:$B$20,0))),"n/a",INDEX('Financials 財務數據'!$D$5:$D$20,MATCH("Intangible Assets",'Financials 財務數據'!$B$5:$B$20,0))/INDEX('Financials 財務數據'!$D$5:$D$20,MATCH("Total Assets",'Financials 財務數據'!$B$5:$B$20,0)))</f>
        <v>n/a</v>
      </c>
      <c r="D10" s="2" t="inlineStr">
        <is>
          <t>無形資產佔比</t>
        </is>
      </c>
    </row>
    <row r="11">
      <c r="A11" s="4" t="inlineStr">
        <is>
          <t>ROE 股本回報率</t>
        </is>
      </c>
      <c r="B11" s="13">
        <f>IF(ISERROR(INDEX('Financials 財務數據'!$C$5:$C$20,MATCH("Profit for the Year",'Financials 財務數據'!$B$5:$B$20,0))/INDEX('Financials 財務數據'!$C$5:$C$20,MATCH("Total Equity",'Financials 財務數據'!$B$5:$B$20,0))),"n/a",INDEX('Financials 財務數據'!$C$5:$C$20,MATCH("Profit for the Year",'Financials 財務數據'!$B$5:$B$20,0))/INDEX('Financials 財務數據'!$C$5:$C$20,MATCH("Total Equity",'Financials 財務數據'!$B$5:$B$20,0)))</f>
        <v>0.009365141467618203</v>
      </c>
      <c r="C11" s="13">
        <f>IF(ISERROR(INDEX('Financials 財務數據'!$D$5:$D$20,MATCH("Profit for the Year",'Financials 財務數據'!$B$5:$B$20,0))/INDEX('Financials 財務數據'!$D$5:$D$20,MATCH("Total Equity",'Financials 財務數據'!$B$5:$B$20,0))),"n/a",INDEX('Financials 財務數據'!$D$5:$D$20,MATCH("Profit for the Year",'Financials 財務數據'!$B$5:$B$20,0))/INDEX('Financials 財務數據'!$D$5:$D$20,MATCH("Total Equity",'Financials 財務數據'!$B$5:$B$20,0)))</f>
        <v>-0.48077154188198534</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5" t="inlineStr">
        <is>
          <t>Item</t>
        </is>
      </c>
      <c r="B4" s="15" t="inlineStr">
        <is>
          <t>Prior</t>
        </is>
      </c>
      <c r="C4" s="15" t="inlineStr">
        <is>
          <t>Current</t>
        </is>
      </c>
    </row>
    <row r="5">
      <c r="A5" s="4" t="inlineStr">
        <is>
          <t>Revenue</t>
        </is>
      </c>
      <c r="B5" s="16" t="n">
        <v>977903</v>
      </c>
      <c r="C5" s="16" t="n">
        <v>1275303</v>
      </c>
    </row>
    <row r="6">
      <c r="A6" s="4" t="inlineStr">
        <is>
          <t>Gross Profit</t>
        </is>
      </c>
      <c r="B6" s="16" t="n">
        <v>81150</v>
      </c>
      <c r="C6" s="16" t="n">
        <v>97868</v>
      </c>
    </row>
    <row r="7">
      <c r="A7" s="4" t="inlineStr">
        <is>
          <t>Profit Before Tax</t>
        </is>
      </c>
      <c r="B7" s="16" t="n">
        <v>-162045</v>
      </c>
      <c r="C7" s="16" t="n">
        <v>-301</v>
      </c>
    </row>
    <row r="8">
      <c r="A8" s="4" t="inlineStr">
        <is>
          <t>Profit for the Year</t>
        </is>
      </c>
      <c r="B8" s="16" t="n">
        <v>-168021</v>
      </c>
      <c r="C8" s="16" t="n">
        <v>3782</v>
      </c>
    </row>
    <row r="9">
      <c r="A9" s="4" t="inlineStr">
        <is>
          <t>Total Equity</t>
        </is>
      </c>
      <c r="B9" s="16" t="n">
        <v>349482</v>
      </c>
      <c r="C9" s="16" t="n">
        <v>403838</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49"/>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7" t="inlineStr">
        <is>
          <t>high</t>
        </is>
      </c>
      <c r="D4" s="12" t="inlineStr">
        <is>
          <t>unobservable input</t>
        </is>
      </c>
      <c r="E4" s="12" t="inlineStr">
        <is>
          <t>PDF p.23 (印刷頁 22)</t>
        </is>
      </c>
      <c r="F4" s="12" t="inlineStr">
        <is>
          <t>g of the valuation reversion method that involve management’s significant process and techniques adopted by the external judgment of unobservable inputs. Details of the valuation professional valuer to assess if they are consistent techniques and significant unobservable inputs used in the with industry norms; and valuations are disclosed in note 13 to the consolidated financial statements. (iii) We made enquiry of the external professional valuer to assess the reasonableness of the significant We focused on the valuation of in</t>
        </is>
      </c>
    </row>
    <row r="5">
      <c r="A5" s="8" t="inlineStr">
        <is>
          <t>Fair Value Measurement</t>
        </is>
      </c>
      <c r="B5" s="8" t="inlineStr">
        <is>
          <t>公允價值計量</t>
        </is>
      </c>
      <c r="C5" s="17" t="inlineStr">
        <is>
          <t>high</t>
        </is>
      </c>
      <c r="D5" s="12" t="inlineStr">
        <is>
          <t>fair value hierarchy</t>
        </is>
      </c>
      <c r="E5" s="12" t="inlineStr">
        <is>
          <t>PDF p.40 (印刷頁 39)</t>
        </is>
      </c>
      <c r="F5" s="12" t="inlineStr">
        <is>
          <t>ts and liabilities for which fair value is measured or disclosed in the consolidated financial statements are categorised within the fair value hierarchy, described as follows, based on the lowest level input that is significant to the fair value measurement as a whole: Level 1 — based on quoted prices (unadjusted) in active markets for identical assets or liabilities Level 2 — based on valuation techniques for which the lowest level input that is significant to the fair value measurement is observable, either directly or indir</t>
        </is>
      </c>
    </row>
    <row r="6">
      <c r="A6" s="8" t="inlineStr">
        <is>
          <t>Fair Value Measurement</t>
        </is>
      </c>
      <c r="B6" s="8" t="inlineStr">
        <is>
          <t>公允價值計量</t>
        </is>
      </c>
      <c r="C6" s="17" t="inlineStr">
        <is>
          <t>high</t>
        </is>
      </c>
      <c r="D6" s="12" t="inlineStr">
        <is>
          <t>level 1</t>
        </is>
      </c>
      <c r="E6" s="12" t="inlineStr">
        <is>
          <t>PDF p.70 (印刷頁 69)</t>
        </is>
      </c>
      <c r="F6" s="12" t="inlineStr">
        <is>
          <t>l within Level 3 of the fair value measurement hierarchy. During the year, there were no transfer of fair value measurements between Level 1 and Level 2 and no transfer into or out of Level 3 (2025: Nil). As at 31 March 2026 and 2025, the valuations of hotel properties and serviced apartment were based on the direct comparison method by referring to comparable market transactions. A significant increase (decrease) in the price per square foot in isolation would result in a significantly higher (lower) fair value of the hotel pr</t>
        </is>
      </c>
    </row>
    <row r="7">
      <c r="A7" s="8" t="inlineStr">
        <is>
          <t>Fair Value Measurement</t>
        </is>
      </c>
      <c r="B7" s="8" t="inlineStr">
        <is>
          <t>公允價值計量</t>
        </is>
      </c>
      <c r="C7" s="17" t="inlineStr">
        <is>
          <t>high</t>
        </is>
      </c>
      <c r="D7" s="12" t="inlineStr">
        <is>
          <t>unobservable input</t>
        </is>
      </c>
      <c r="E7" s="12" t="inlineStr">
        <is>
          <t>PDF p.71 (印刷頁 70)</t>
        </is>
      </c>
      <c r="F7" s="12" t="inlineStr">
        <is>
          <t>and the key input to the valuation: Fair value at Range/ 31 March 2026 Significant weighted Description Valuation technique HK$’000 unobservable inputs average Hotel properties Direct comparison method 20,856 Market price per square HK$4,531 to (2025: Nil) (2025: Nil) metre (2025: Nil) HK$7,291 (2025: Nil) Serviced apartment Direct comparison method 638,434 Market price per square HK$6,470 to (2025: Nil) (2025: Nil) metre (2025: Nil) HK$23,148 (2025: Nil) Freehold land Depreciated replacement 15,868 Construction cost per HK$1</t>
        </is>
      </c>
    </row>
    <row r="8">
      <c r="A8" s="8" t="inlineStr">
        <is>
          <t>Fair Value Measurement</t>
        </is>
      </c>
      <c r="B8" s="8" t="inlineStr">
        <is>
          <t>公允價值計量</t>
        </is>
      </c>
      <c r="C8" s="17" t="inlineStr">
        <is>
          <t>high</t>
        </is>
      </c>
      <c r="D8" s="12" t="inlineStr">
        <is>
          <t>cost approach</t>
        </is>
      </c>
      <c r="E8" s="12" t="inlineStr">
        <is>
          <t>PDF p.72 (印刷頁 71)</t>
        </is>
      </c>
      <c r="F8" s="12" t="inlineStr">
        <is>
          <t>ed) As at 31 March 2026 and 2025, the valuations of buildings were based on the direct comparison method and depreciated replacement cost approach by referring to comparable market transactions and the cost to reproduce or replace in a new condition the properties in the locality, with an allowance of accrued depreciation as evidenced by the observed condition or obsolescence percent, whether including those arising from physical, functional or economic causes. The depreciated replacement cost approach generally furnishes the m</t>
        </is>
      </c>
    </row>
    <row r="9">
      <c r="A9" s="8" t="inlineStr">
        <is>
          <t>Fair Value Measurement</t>
        </is>
      </c>
      <c r="B9" s="8" t="inlineStr">
        <is>
          <t>公允價值計量</t>
        </is>
      </c>
      <c r="C9" s="17" t="inlineStr">
        <is>
          <t>high</t>
        </is>
      </c>
      <c r="D9" s="12" t="inlineStr">
        <is>
          <t>fair value hierarchy</t>
        </is>
      </c>
      <c r="E9" s="12" t="inlineStr">
        <is>
          <t>PDF p.73 (印刷頁 72)</t>
        </is>
      </c>
      <c r="F9" s="12" t="inlineStr">
        <is>
          <t>Notes to Financial Statements 31 March 2026 13. Investment Properties (Continued) Fair value hierarchy The following table illustrates the fair value measurement hierarchy of the Group’s investment properties: Fair value measurement as at 31 March 2026 using Quoted Significant Significant prices observable unobservable in markets inputs inputs (Level 1) (Level 2) (Level 3) Total HK$’000 HK$’000 HK$’000 HK$’000 Recurring fair value measurement for: Commercial properties – – 200,</t>
        </is>
      </c>
    </row>
    <row r="10">
      <c r="A10" s="8" t="inlineStr">
        <is>
          <t>Fair Value Measurement</t>
        </is>
      </c>
      <c r="B10" s="8" t="inlineStr">
        <is>
          <t>公允價值計量</t>
        </is>
      </c>
      <c r="C10" s="17" t="inlineStr">
        <is>
          <t>high</t>
        </is>
      </c>
      <c r="D10" s="12" t="inlineStr">
        <is>
          <t>unobservable input</t>
        </is>
      </c>
      <c r="E10" s="12" t="inlineStr">
        <is>
          <t>PDF p.74 (印刷頁 73)</t>
        </is>
      </c>
      <c r="F10" s="12" t="inlineStr">
        <is>
          <t>mary of the valuation techniques used and the key inputs to the valuation of investment properties: Significant Valuation techniques unobservable inputs Range/average 2026 2025 Commercial properties Direct comparison method Market price per square HK$7,027 to HK$7,000 to (2025: Direct comparison foot HK$9,765 HK$9,500 method) (2025: Market price per square foot) Industrial properties Nil Nil Nil HK$678 (2025: Depreciated (2025: Construction replacement cost cost per square metre) approach) Direct comparison method Market price</t>
        </is>
      </c>
    </row>
    <row r="11">
      <c r="A11" s="8" t="inlineStr">
        <is>
          <t>Fair Value Measurement</t>
        </is>
      </c>
      <c r="B11" s="8" t="inlineStr">
        <is>
          <t>公允價值計量</t>
        </is>
      </c>
      <c r="C11" s="17" t="inlineStr">
        <is>
          <t>high</t>
        </is>
      </c>
      <c r="D11" s="12" t="inlineStr">
        <is>
          <t>fair value hierarchy</t>
        </is>
      </c>
      <c r="E11" s="12" t="inlineStr">
        <is>
          <t>PDF p.87 (印刷頁 86)</t>
        </is>
      </c>
      <c r="F11" s="12" t="inlineStr">
        <is>
          <t>nt due to a non-controlling interest of a subsidiary, are categorised as financial liabilities at amortised cost. 30. Fair Value and Fair Value Hierarchy of Financial Instruments Management has assessed that the fair values of cash and cash equivalents, restricted bank balance and pledged time deposits, financial assets included in trade receivables, deposits and other receivables, financial liabilities included in trade and other payables and accruals and interest-bearing bank borrowings approximate to their carrying amounts l</t>
        </is>
      </c>
    </row>
    <row r="12">
      <c r="A12" s="8" t="inlineStr">
        <is>
          <t>Fair Value Measurement</t>
        </is>
      </c>
      <c r="B12" s="8" t="inlineStr">
        <is>
          <t>公允價值計量</t>
        </is>
      </c>
      <c r="C12" s="17" t="inlineStr">
        <is>
          <t>high</t>
        </is>
      </c>
      <c r="D12" s="12" t="inlineStr">
        <is>
          <t>fair value hierarchy</t>
        </is>
      </c>
      <c r="E12" s="12" t="inlineStr">
        <is>
          <t>PDF p.88 (印刷頁 87)</t>
        </is>
      </c>
      <c r="F12" s="12" t="inlineStr">
        <is>
          <t>Notes to Financial Statements 31 March 2026 30. Fair Value and Fair Value Hierarchy of Financial Instruments (Continued) As at 31 March 2025 Fair value measurement using Quoted Significant Significant prices in observable unobservable markets inputs inputs (Level 1) (Level 2) (Level 3) Total HK$’000 HK$’000 HK$’000 HK$’000 Equity investment at fair value through other comprehensive income – – 18,330 18,330 Financial assets at fair value through profit or loss</t>
        </is>
      </c>
    </row>
    <row r="13">
      <c r="A13" s="8" t="inlineStr">
        <is>
          <t>Fair Value Measurement</t>
        </is>
      </c>
      <c r="B13" s="8" t="inlineStr">
        <is>
          <t>公允價值計量</t>
        </is>
      </c>
      <c r="C13" s="17" t="inlineStr">
        <is>
          <t>high</t>
        </is>
      </c>
      <c r="D13" s="12" t="inlineStr">
        <is>
          <t>fair value hierarchy</t>
        </is>
      </c>
      <c r="E13" s="12" t="inlineStr">
        <is>
          <t>PDF p.89 (印刷頁 88)</t>
        </is>
      </c>
      <c r="F13" s="12" t="inlineStr">
        <is>
          <t>Notes to Financial Statements 31 March 2026 30. Fair Value and Fair Value Hierarchy of Financial Instruments (Continued) Set out below is a summary of the valuation technique used and the key inputs to the valuation of an equity investment: Significant unobservable Valuation technique inputs Range 2026 Range 2025 Equity investment Asset-based and direct Market price per unit rate HK$68,000 HK$86,237 comparison method for car parks Market price per square HK$5</t>
        </is>
      </c>
    </row>
    <row r="14">
      <c r="A14" s="8" t="inlineStr">
        <is>
          <t>Impairment Testing</t>
        </is>
      </c>
      <c r="B14" s="8" t="inlineStr">
        <is>
          <t>減值測試</t>
        </is>
      </c>
      <c r="C14" s="17" t="inlineStr">
        <is>
          <t>high</t>
        </is>
      </c>
      <c r="D14" s="12" t="inlineStr">
        <is>
          <t>impairment loss</t>
        </is>
      </c>
      <c r="E14" s="12" t="inlineStr">
        <is>
          <t>PDF p.3 (印刷頁 2)</t>
        </is>
      </c>
      <c r="F14" s="12" t="inlineStr">
        <is>
          <t>il in the Current Revenue Year (2025: HK$8.9 million); (ii) the inclusion of The Group’s revenue from procurement and sales of dried impairment loss on the segment of hotel and serviced cassava chips increased by approximately HK$294.2 million apartment operations of approximately HK$Nil (2025: or approximately 30.6% from approximately HK$960.5 HK$26.2 million); (iii) the inclusion of the impairment in million for the previous year to approximately HK$1,254.7 club membership of HK$Nil (2025: HK$1.2 million); (iv) the million fo</t>
        </is>
      </c>
    </row>
    <row r="15">
      <c r="A15" s="8" t="inlineStr">
        <is>
          <t>Impairment Testing</t>
        </is>
      </c>
      <c r="B15" s="8" t="inlineStr">
        <is>
          <t>減值測試</t>
        </is>
      </c>
      <c r="C15" s="17" t="inlineStr">
        <is>
          <t>high</t>
        </is>
      </c>
      <c r="D15" s="12" t="inlineStr">
        <is>
          <t>impairment test</t>
        </is>
      </c>
      <c r="E15" s="12" t="inlineStr">
        <is>
          <t>PDF p.40 (印刷頁 39)</t>
        </is>
      </c>
      <c r="F15" s="12" t="inlineStr">
        <is>
          <t>le) at the end of each reporting period. Impairment of non-financial assets Where an indication of impairment exists, or when annual impairment testing for an asset is required (other than inventories, deferred tax assets, financial assets, investment properties and certain buildings classified as property, plant and equipment at fair value through the asset revaluation reserve), the asset’s recoverable amount is estimated. An asset’s recoverable amount is the higher of the asset’s or cash-generating unit’s value in use and its</t>
        </is>
      </c>
    </row>
    <row r="16">
      <c r="A16" s="8" t="inlineStr">
        <is>
          <t>Impairment Testing</t>
        </is>
      </c>
      <c r="B16" s="8" t="inlineStr">
        <is>
          <t>減值測試</t>
        </is>
      </c>
      <c r="C16" s="17" t="inlineStr">
        <is>
          <t>high</t>
        </is>
      </c>
      <c r="D16" s="12" t="inlineStr">
        <is>
          <t>impairment loss</t>
        </is>
      </c>
      <c r="E16" s="12" t="inlineStr">
        <is>
          <t>PDF p.41 (印刷頁 40)</t>
        </is>
      </c>
      <c r="F16" s="12" t="inlineStr">
        <is>
          <t>Continued) An assessment is made at the end of each reporting period as to whether there is an indication that previously recognised impairment losses may no longer exist or may have decreased. If such an indication exists, the recoverable amount is estimated. A previously recognised impairment loss of an asset other than goodwill is reversed only if there has been a change in the estimates used to determine the recoverable amount of that asset, but not to an amount higher than the carrying amount that would have been determine</t>
        </is>
      </c>
    </row>
    <row r="17">
      <c r="A17" s="8" t="inlineStr">
        <is>
          <t>Impairment Testing</t>
        </is>
      </c>
      <c r="B17" s="8" t="inlineStr">
        <is>
          <t>減值測試</t>
        </is>
      </c>
      <c r="C17" s="17" t="inlineStr">
        <is>
          <t>high</t>
        </is>
      </c>
      <c r="D17" s="12" t="inlineStr">
        <is>
          <t>impairment loss</t>
        </is>
      </c>
      <c r="E17" s="12" t="inlineStr">
        <is>
          <t>PDF p.43 (印刷頁 42)</t>
        </is>
      </c>
      <c r="F17" s="12" t="inlineStr">
        <is>
          <t>date the underlying asset is available for use). Right-of-use assets are measured at cost, less any accumulated depreciation and any impairment losses, and adjusted for any remeasurement of lease liabilities. The cost of right-of-use assets includes the amount of lease liabilities recognised, initial direct costs incurred, and lease payments made at or before the commencement date less any lease incentives received. Right-of-use assets are depreciated on a straight-line basis over the shorter of the lease terms and the estimate</t>
        </is>
      </c>
    </row>
    <row r="18">
      <c r="A18" s="8" t="inlineStr">
        <is>
          <t>Impairment Testing</t>
        </is>
      </c>
      <c r="B18" s="8" t="inlineStr">
        <is>
          <t>減值測試</t>
        </is>
      </c>
      <c r="C18" s="17" t="inlineStr">
        <is>
          <t>high</t>
        </is>
      </c>
      <c r="D18" s="12" t="inlineStr">
        <is>
          <t>impairment loss</t>
        </is>
      </c>
      <c r="E18" s="12" t="inlineStr">
        <is>
          <t>PDF p.45 (印刷頁 44)</t>
        </is>
      </c>
      <c r="F18" s="12" t="inlineStr">
        <is>
          <t>instruments) For debt investment at fair value through other comprehensive income, interest income, foreign exchange revaluation and impairment losses or reversals are recognised in profit or loss and computed in the same manner as for financial assets measured at amortised cost. The remaining fair value changes are recognised in other comprehensive income. Upon derecognition, the cumulative fair value change recognised in other comprehensive income is recycled to profit or loss. Financial assets designated at fair value throug</t>
        </is>
      </c>
    </row>
    <row r="19">
      <c r="A19" s="8" t="inlineStr">
        <is>
          <t>Impairment Testing</t>
        </is>
      </c>
      <c r="B19" s="8" t="inlineStr">
        <is>
          <t>減值測試</t>
        </is>
      </c>
      <c r="C19" s="17" t="inlineStr">
        <is>
          <t>high</t>
        </is>
      </c>
      <c r="D19" s="12" t="inlineStr">
        <is>
          <t>impairment test</t>
        </is>
      </c>
      <c r="E19" s="12" t="inlineStr">
        <is>
          <t>PDF p.55 (印刷頁 54)</t>
        </is>
      </c>
      <c r="F19" s="12" t="inlineStr">
        <is>
          <t>iscount rates or the growth rate assumptions in the cash flow projections, could materially affect the net present value used in the impairment test. (iii) Income taxes and withholding taxes The Group is subject to income taxes and withholding taxes in numerous jurisdictions in connection with the Group’s sale of dried cassava chips and other goods. Judgement is required in determining the Group’s provision for income taxes and withholding taxes. Where the final tax outcome of these matters is different from the amounts that we</t>
        </is>
      </c>
    </row>
    <row r="20">
      <c r="A20" s="8" t="inlineStr">
        <is>
          <t>Impairment Testing</t>
        </is>
      </c>
      <c r="B20" s="8" t="inlineStr">
        <is>
          <t>減值測試</t>
        </is>
      </c>
      <c r="C20" s="17" t="inlineStr">
        <is>
          <t>high</t>
        </is>
      </c>
      <c r="D20" s="12" t="inlineStr">
        <is>
          <t>impairment loss</t>
        </is>
      </c>
      <c r="E20" s="12" t="inlineStr">
        <is>
          <t>PDF p.70 (印刷頁 69)</t>
        </is>
      </c>
      <c r="F20" s="12" t="inlineStr">
        <is>
          <t>pment (Continued) As at 31 March 2025, the Group’s leasehold land with cost of HK$711,100,000 less depreciation of HK$40,064,000 and impairment loss of HK$93,190,000 was included in hotel properties and serviced apartment. As at 31 March 2026, the Group’s hotel properties and serviced apartment, freehold land and buildings (2025: buildings) were revalued individually by B.I. Appraisals Limited, independent professionally qualified valuers. Had the Group’s hotel properties and serviced apartment, freehold land and buildings been</t>
        </is>
      </c>
    </row>
    <row r="21">
      <c r="A21" s="8" t="inlineStr">
        <is>
          <t>Impairment Testing</t>
        </is>
      </c>
      <c r="B21" s="8" t="inlineStr">
        <is>
          <t>減值測試</t>
        </is>
      </c>
      <c r="C21" s="17" t="inlineStr">
        <is>
          <t>high</t>
        </is>
      </c>
      <c r="D21" s="12" t="inlineStr">
        <is>
          <t>impairment loss</t>
        </is>
      </c>
      <c r="E21" s="12" t="inlineStr">
        <is>
          <t>PDF p.77 (印刷頁 76)</t>
        </is>
      </c>
      <c r="F21" s="12" t="inlineStr">
        <is>
          <t>receivables to minimise credit risk. Trade receivables comprise amounts arising from both trading activities and hotel services. The impairment loss recognised as at 31 March 2026 and 2025 relates entirely to receivables arising from hotels services. At 31 March 2026 and 2025, the Group was not exposed to concentration of credit risk. An ageing analysis of the Group’s trade and bills receivables as at the end of the reporting period, based on the invoice date and net of loss allowance, is as follows: 2026 2025 HK$’000 HK$’000 W</t>
        </is>
      </c>
    </row>
    <row r="22">
      <c r="A22" s="8" t="inlineStr">
        <is>
          <t>Impairment Testing</t>
        </is>
      </c>
      <c r="B22" s="8" t="inlineStr">
        <is>
          <t>減值測試</t>
        </is>
      </c>
      <c r="C22" s="17" t="inlineStr">
        <is>
          <t>high</t>
        </is>
      </c>
      <c r="D22" s="12" t="inlineStr">
        <is>
          <t>impairment loss</t>
        </is>
      </c>
      <c r="E22" s="12" t="inlineStr">
        <is>
          <t>PDF p.79 (印刷頁 78)</t>
        </is>
      </c>
      <c r="F22" s="12" t="inlineStr">
        <is>
          <t>pairment of prepayments, deposits and other receivables are as follows: 2026 2025 HK$’000 HK$’000 At beginning of year 12,815 12,815 Impairment losses – – At end of year 12,815 12,815 19. Financial Assets at Fair Value Through Profit or Loss 2026 2025 HK$’000 HK$’000 Listed equity securities, at fair value – 5,709 Other unlisted fund investments, at fair value – 133 – 5,842 The above equity investments were classified as financial assets at fair value through profit or loss as they were held for trading. The above unlisted fund</t>
        </is>
      </c>
    </row>
    <row r="23">
      <c r="A23" s="8" t="inlineStr">
        <is>
          <t>Intangible Assets &amp; Goodwill</t>
        </is>
      </c>
      <c r="B23" s="8" t="inlineStr">
        <is>
          <t>無形資產及商譽</t>
        </is>
      </c>
      <c r="C23" s="17" t="inlineStr">
        <is>
          <t>high</t>
        </is>
      </c>
      <c r="D23" s="12" t="inlineStr">
        <is>
          <t>customer relationship</t>
        </is>
      </c>
      <c r="E23" s="12" t="inlineStr">
        <is>
          <t>PDF p.8 (印刷頁 7)</t>
        </is>
      </c>
      <c r="F23" s="12" t="inlineStr">
        <is>
          <t>as employed by the Group in 2008 as part of the reorganisation and is responsible for the analysis of cassava market information and customer relationship of the Group in the PRC. Ms. Jiang has over 5 years’ experience in marketing. Ms. Jiang graduated from Weifang Vocational College (濰坊職業大學) with major in international trading. 7 Asia Cassava Resources Holdings Limited Annual Report 2026</t>
        </is>
      </c>
    </row>
    <row r="24">
      <c r="A24" s="8" t="inlineStr">
        <is>
          <t>Intangible Assets &amp; Goodwill</t>
        </is>
      </c>
      <c r="B24" s="8" t="inlineStr">
        <is>
          <t>無形資產及商譽</t>
        </is>
      </c>
      <c r="C24" s="17" t="inlineStr">
        <is>
          <t>high</t>
        </is>
      </c>
      <c r="D24" s="12" t="inlineStr">
        <is>
          <t>trademark</t>
        </is>
      </c>
      <c r="E24" s="12" t="inlineStr">
        <is>
          <t>PDF p.34 (印刷頁 33)</t>
        </is>
      </c>
      <c r="F24" s="12" t="inlineStr">
        <is>
          <t>00 – 100 Procurement and sale of Corporation Co., dried cassava chips Limited Art Ocean British Virgin Islands US$1 – 100 Holding of trademarks Development (“BVI”)/Hong Kong Limited 33 Asia Cassava Resources Holdings Limited Annual Report 2026</t>
        </is>
      </c>
    </row>
    <row r="25">
      <c r="A25" s="8" t="inlineStr">
        <is>
          <t>Intangible Assets &amp; Goodwill</t>
        </is>
      </c>
      <c r="B25" s="8" t="inlineStr">
        <is>
          <t>無形資產及商譽</t>
        </is>
      </c>
      <c r="C25" s="17" t="inlineStr">
        <is>
          <t>high</t>
        </is>
      </c>
      <c r="D25" s="12" t="inlineStr">
        <is>
          <t>goodwill</t>
        </is>
      </c>
      <c r="E25" s="12" t="inlineStr">
        <is>
          <t>PDF p.38 (印刷頁 37)</t>
        </is>
      </c>
      <c r="F25" s="12" t="inlineStr">
        <is>
          <t>accounted for as an equity transaction. If the Group loses control over a subsidiary, it derecognises the related assets (including goodwill), liabilities, any non-controlling interest and the exchange fluctuation reserve; and recognises the fair value of any investment retained and any resulting surplus or deficit in profit or loss. The Group’s share of components previously recognised in other comprehensive income is reclassified to profit or loss or retained profits, as appropriate, on the same basis as would be required if</t>
        </is>
      </c>
    </row>
    <row r="26">
      <c r="A26" s="8" t="inlineStr">
        <is>
          <t>Intangible Assets &amp; Goodwill</t>
        </is>
      </c>
      <c r="B26" s="8" t="inlineStr">
        <is>
          <t>無形資產及商譽</t>
        </is>
      </c>
      <c r="C26" s="17" t="inlineStr">
        <is>
          <t>high</t>
        </is>
      </c>
      <c r="D26" s="12" t="inlineStr">
        <is>
          <t>goodwill</t>
        </is>
      </c>
      <c r="E26" s="12" t="inlineStr">
        <is>
          <t>PDF p.41 (印刷頁 40)</t>
        </is>
      </c>
      <c r="F26" s="12" t="inlineStr">
        <is>
          <t>d. If such an indication exists, the recoverable amount is estimated. A previously recognised impairment loss of an asset other than goodwill is reversed only if there has been a change in the estimates used to determine the recoverable amount of that asset, but not to an amount higher than the carrying amount that would have been determined (net of any depreciation/amortisation) had no impairment loss been recognised for the asset in prior years. A reversal of such an impairment loss is credited to profit or loss in the period</t>
        </is>
      </c>
    </row>
    <row r="27">
      <c r="A27" s="8" t="inlineStr">
        <is>
          <t>Intangible Assets &amp; Goodwill</t>
        </is>
      </c>
      <c r="B27" s="8" t="inlineStr">
        <is>
          <t>無形資產及商譽</t>
        </is>
      </c>
      <c r="C27" s="17" t="inlineStr">
        <is>
          <t>high</t>
        </is>
      </c>
      <c r="D27" s="12" t="inlineStr">
        <is>
          <t>useful life</t>
        </is>
      </c>
      <c r="E27" s="12" t="inlineStr">
        <is>
          <t>PDF p.42 (印刷頁 41)</t>
        </is>
      </c>
      <c r="F27" s="12" t="inlineStr">
        <is>
          <t>the straight-line basis to write off the cost of each item of property, plant and equipment to its residual value over its estimated useful life. The principal annual rates used for this purpose are as follows: Hotel properties and serviced apartment 2% Freehold land Not depreciated Buildings 2% to 5% Furniture and fixtures 10% to 331/3% Leasehold improvements Shorter of the lease terms and 20% Machinery and equipment 10% to 25% Motor vehicles 20% to 25% Where parts of an item of property, plant and equipment have different use</t>
        </is>
      </c>
    </row>
    <row r="28">
      <c r="A28" s="8" t="inlineStr">
        <is>
          <t>Intangible Assets &amp; Goodwill</t>
        </is>
      </c>
      <c r="B28" s="8" t="inlineStr">
        <is>
          <t>無形資產及商譽</t>
        </is>
      </c>
      <c r="C28" s="17" t="inlineStr">
        <is>
          <t>high</t>
        </is>
      </c>
      <c r="D28" s="12" t="inlineStr">
        <is>
          <t>intangible asset</t>
        </is>
      </c>
      <c r="E28" s="12" t="inlineStr">
        <is>
          <t>PDF p.43 (印刷頁 42)</t>
        </is>
      </c>
      <c r="F28" s="12" t="inlineStr">
        <is>
          <t>otes to Financial Statements 31 March 2026 2. Accounting Policies (Continued) 2.3 Material Accounting Policy Information (Continued) Intangible assets (other than goodwill) Club membership Intangible assets acquired separately are measured on initial recognition at cost. The cost of intangible assets acquired in a business combination is the fair value at the date of acquisition. The useful lives of intangible assets are assessed to be either finite or indefinite. Intangible assets with indefinite useful lives are tested for im</t>
        </is>
      </c>
    </row>
    <row r="29">
      <c r="A29" s="8" t="inlineStr">
        <is>
          <t>Intangible Assets &amp; Goodwill</t>
        </is>
      </c>
      <c r="B29" s="8" t="inlineStr">
        <is>
          <t>無形資產及商譽</t>
        </is>
      </c>
      <c r="C29" s="17" t="inlineStr">
        <is>
          <t>high</t>
        </is>
      </c>
      <c r="D29" s="12" t="inlineStr">
        <is>
          <t>amortisation</t>
        </is>
      </c>
      <c r="E29" s="12" t="inlineStr">
        <is>
          <t>PDF p.49 (印刷頁 48)</t>
        </is>
      </c>
      <c r="F29" s="12" t="inlineStr">
        <is>
          <t>ins and losses are recognised in profit or loss when the liabilities are derecognised as well as through the effective interest rate amortisation process. Amortised cost is calculated by taking into account any discount or premium on acquisition and fees or costs that are an integral part of the effective interest rate. The effective interest rate amortisation is included in finance costs in profit or loss. Derecognition of financial liabilities A financial liability is derecognised when the obligation under the liability is di</t>
        </is>
      </c>
    </row>
    <row r="30">
      <c r="A30" s="8" t="inlineStr">
        <is>
          <t>Intangible Assets &amp; Goodwill</t>
        </is>
      </c>
      <c r="B30" s="8" t="inlineStr">
        <is>
          <t>無形資產及商譽</t>
        </is>
      </c>
      <c r="C30" s="17" t="inlineStr">
        <is>
          <t>high</t>
        </is>
      </c>
      <c r="D30" s="12" t="inlineStr">
        <is>
          <t>goodwill</t>
        </is>
      </c>
      <c r="E30" s="12" t="inlineStr">
        <is>
          <t>PDF p.50 (印刷頁 49)</t>
        </is>
      </c>
      <c r="F30" s="12" t="inlineStr">
        <is>
          <t>erences. In addition, deferred tax liabilities are not recognised if the temporary difference arises from the initial recognition of goodwill. Deferred tax liabilities are recognised for taxable temporary differences associated with investments in subsidiaries and associates, and interests in joint ventures, except where the Group is able to control the reversal of the temporary difference and it is probable that the temporary difference will not reverse in the foreseeable future. Deferred tax assets arising from deductible tem</t>
        </is>
      </c>
    </row>
    <row r="31">
      <c r="A31" s="8" t="inlineStr">
        <is>
          <t>Investment Properties</t>
        </is>
      </c>
      <c r="B31" s="8" t="inlineStr">
        <is>
          <t>投資物業</t>
        </is>
      </c>
      <c r="C31" s="17" t="inlineStr">
        <is>
          <t>high</t>
        </is>
      </c>
      <c r="D31" s="12" t="inlineStr">
        <is>
          <t>gross floor area</t>
        </is>
      </c>
      <c r="E31" s="12" t="inlineStr">
        <is>
          <t>PDF p.12 (印刷頁 11)</t>
        </is>
      </c>
      <c r="F31" s="12" t="inlineStr">
        <is>
          <t>to lease a property located at Unit 612, 6th Floor, Houston Centre, 63 Mody Road, Tsimshatsui East, Kowloon, Hong Kong with a total gross floor area of approximately 120 sq. meter to the Group for business use for a period from 1 April 2025 to 30 June 2025, at a quarterly rental of HK$143,500. 11 Asia Cassava Resources Holdings Limited Annual Report 2026</t>
        </is>
      </c>
    </row>
    <row r="32">
      <c r="A32" s="8" t="inlineStr">
        <is>
          <t>Investment Properties</t>
        </is>
      </c>
      <c r="B32" s="8" t="inlineStr">
        <is>
          <t>投資物業</t>
        </is>
      </c>
      <c r="C32" s="17" t="inlineStr">
        <is>
          <t>high</t>
        </is>
      </c>
      <c r="D32" s="12" t="inlineStr">
        <is>
          <t>gross floor area</t>
        </is>
      </c>
      <c r="E32" s="12" t="inlineStr">
        <is>
          <t>PDF p.13 (印刷頁 12)</t>
        </is>
      </c>
      <c r="F32" s="12" t="inlineStr">
        <is>
          <t>a property located at Flat A, 19/F., Aster Sky, The Cullinan I, 1 Austin Road West, Kowloon, Hong Kong (the “Property”) with a total gross floor area of approximately 1,260 sq. feet to the Group as staff quarters for a year from 1 April 2025 to 31 March 2026, at an annual rental of HK$696,000. The independent non-executive directors of the Company have reviewed the continuing connected transactions set out above and have confirmed that these continuing connected transactions were entered into (i) in the ordinary and usual cours</t>
        </is>
      </c>
    </row>
    <row r="33">
      <c r="A33" s="8" t="inlineStr">
        <is>
          <t>Investment Properties</t>
        </is>
      </c>
      <c r="B33" s="8" t="inlineStr">
        <is>
          <t>投資物業</t>
        </is>
      </c>
      <c r="C33" s="17" t="inlineStr">
        <is>
          <t>high</t>
        </is>
      </c>
      <c r="D33" s="12" t="inlineStr">
        <is>
          <t>investment property</t>
        </is>
      </c>
      <c r="E33" s="12" t="inlineStr">
        <is>
          <t>PDF p.42 (印刷頁 41)</t>
        </is>
      </c>
      <c r="F33" s="12" t="inlineStr">
        <is>
          <t>t properties are included in profit or loss in the year in which they arise. Any gains or losses on the retirement or disposal of an investment property are recognised in profit or loss in the year of the retirement or disposal. For a transfer from investment properties to owner-occupied properties or inventories, the deemed cost of a property for subsequent accounting is its fair value at the date of change in use. If a property occupied by the Group as an owner-occupied property becomes an investment property, the Group accou</t>
        </is>
      </c>
    </row>
    <row r="34">
      <c r="A34" s="8" t="inlineStr">
        <is>
          <t>Investment Properties</t>
        </is>
      </c>
      <c r="B34" s="8" t="inlineStr">
        <is>
          <t>投資物業</t>
        </is>
      </c>
      <c r="C34" s="17" t="inlineStr">
        <is>
          <t>high</t>
        </is>
      </c>
      <c r="D34" s="12" t="inlineStr">
        <is>
          <t>investment property</t>
        </is>
      </c>
      <c r="E34" s="12" t="inlineStr">
        <is>
          <t>PDF p.43 (印刷頁 42)</t>
        </is>
      </c>
      <c r="F34" s="12" t="inlineStr">
        <is>
          <t>tion, depreciation is calculated using the estimated useful life of the asset. When a right-of-use assets meets the definition of an investment property, it is included in investment properties. The corresponding right-of-use asset is initially measured at cost, and subsequently measured at fair value, in accordance with the Group’s accounting policy for “Investment properties”. 42 Asia Cassava Resources Holdings Limited Annual Report 2026</t>
        </is>
      </c>
    </row>
    <row r="35">
      <c r="A35" s="8" t="inlineStr">
        <is>
          <t>Investment Properties</t>
        </is>
      </c>
      <c r="B35" s="8" t="inlineStr">
        <is>
          <t>投資物業</t>
        </is>
      </c>
      <c r="C35" s="17" t="inlineStr">
        <is>
          <t>high</t>
        </is>
      </c>
      <c r="D35" s="12" t="inlineStr">
        <is>
          <t>investment property</t>
        </is>
      </c>
      <c r="E35" s="12" t="inlineStr">
        <is>
          <t>PDF p.51 (印刷頁 50)</t>
        </is>
      </c>
      <c r="F35" s="12" t="inlineStr">
        <is>
          <t>perties are presumed to be recovered entirely through sale, unless the presumption is rebutted. The presumption is rebutted when the investment property is depreciable and is held within a business model whose objective is to consume substantially all of the economic benefits embodied in the investment property over time, rather than through sale, except for freehold land, which is always presumed to be recovered entirely through sale. For the purposes of measuring deferred tax for leasing transactions in which the Group recogn</t>
        </is>
      </c>
    </row>
    <row r="36">
      <c r="A36" s="8" t="inlineStr">
        <is>
          <t>Investment Properties</t>
        </is>
      </c>
      <c r="B36" s="8" t="inlineStr">
        <is>
          <t>投資物業</t>
        </is>
      </c>
      <c r="C36" s="17" t="inlineStr">
        <is>
          <t>high</t>
        </is>
      </c>
      <c r="D36" s="12" t="inlineStr">
        <is>
          <t>investment property</t>
        </is>
      </c>
      <c r="E36" s="12" t="inlineStr">
        <is>
          <t>PDF p.54 (印刷頁 53)</t>
        </is>
      </c>
      <c r="F36" s="12" t="inlineStr">
        <is>
          <t>nancial statements: (i) Property lease classification — Group as lessor The Group has entered into commercial property leases on its investment property portfolio. The Group has determined, based on an evaluation of the terms and conditions of the arrangements, such as the lease term not constituting a major part of the economic life of the commercial property and the present value of the minimum lease payments not amounting to substantially all the fair value of the commercial property, that it retains substantially all the si</t>
        </is>
      </c>
    </row>
    <row r="37">
      <c r="A37" s="8" t="inlineStr">
        <is>
          <t>Investment Properties</t>
        </is>
      </c>
      <c r="B37" s="8" t="inlineStr">
        <is>
          <t>投資物業</t>
        </is>
      </c>
      <c r="C37" s="17" t="inlineStr">
        <is>
          <t>high</t>
        </is>
      </c>
      <c r="D37" s="12" t="inlineStr">
        <is>
          <t>investment property</t>
        </is>
      </c>
      <c r="E37" s="12" t="inlineStr">
        <is>
          <t>PDF p.60 (印刷頁 59)</t>
        </is>
      </c>
      <c r="F37" s="12" t="inlineStr">
        <is>
          <t>otel room and serviced apartment revenue, food and beverage income 14,872 13,044 Revenue from other sources Gross rental income from investment property operating leases 5,738 4,361 1,275,303 977,903 Revenue from contracts with customers (i) Disaggregated revenue information Sale of dried Hotel room cassava chips and serviced and apartment other goods revenue Total HK$’000 HK$’000 HK$’000 For the year ended 31 March 2026 Sale of goods 1,254,693 – 1,254,693 Hotel room and serviced apartment revenue, and food and beverage income</t>
        </is>
      </c>
    </row>
    <row r="38">
      <c r="A38" s="8" t="inlineStr">
        <is>
          <t>Investment Properties</t>
        </is>
      </c>
      <c r="B38" s="8" t="inlineStr">
        <is>
          <t>投資物業</t>
        </is>
      </c>
      <c r="C38" s="17" t="inlineStr">
        <is>
          <t>high</t>
        </is>
      </c>
      <c r="D38" s="12" t="inlineStr">
        <is>
          <t>market rent</t>
        </is>
      </c>
      <c r="E38" s="12" t="inlineStr">
        <is>
          <t>PDF p.85 (印刷頁 84)</t>
        </is>
      </c>
      <c r="F38" s="12" t="inlineStr">
        <is>
          <t>ompany, is the controlling shareholder of these related companies. Note: The rental expenses were determined based on the prevailing market rent. (b) The amount due to a non-controlling interest of a subsidiary was unsecured, interest-free and not repayable within one year from the end of the reporting period. (c) Compensation of key management personnel of the Group: 2026 2025 HK$’000 HK$’000 Short term employee benefits 2,537 2,575 Post-employment benefits 54 54 Total compensation paid to key management personnel 2,591 2,629</t>
        </is>
      </c>
    </row>
    <row r="39">
      <c r="A39" s="8" t="inlineStr">
        <is>
          <t>Segment Information</t>
        </is>
      </c>
      <c r="B39" s="8" t="inlineStr">
        <is>
          <t>分部資料</t>
        </is>
      </c>
      <c r="C39" s="8" t="inlineStr">
        <is>
          <t>medium</t>
        </is>
      </c>
      <c r="D39" s="12" t="inlineStr">
        <is>
          <t>segment information</t>
        </is>
      </c>
      <c r="E39" s="12" t="inlineStr">
        <is>
          <t>PDF p.56 (印刷頁 55)</t>
        </is>
      </c>
      <c r="F39" s="12" t="inlineStr">
        <is>
          <t>s trade receivables and other receivables is disclosed in notes 17 and 18 to the consolidated financial statements, respectively. 4. Segment Information For management purposes, the Group is organised into business units based on their products and services and has three reportable operating segments as follows: (a) the procurement and sale of dried cassava chips segment engages in the procurement and sale of dried cassava chips; (b) the property investment segment invests in office space and industrial properties for their ren</t>
        </is>
      </c>
    </row>
    <row r="40">
      <c r="A40" s="8" t="inlineStr">
        <is>
          <t>Segment Information</t>
        </is>
      </c>
      <c r="B40" s="8" t="inlineStr">
        <is>
          <t>分部資料</t>
        </is>
      </c>
      <c r="C40" s="8" t="inlineStr">
        <is>
          <t>medium</t>
        </is>
      </c>
      <c r="D40" s="12" t="inlineStr">
        <is>
          <t>segment information</t>
        </is>
      </c>
      <c r="E40" s="12" t="inlineStr">
        <is>
          <t>PDF p.57 (印刷頁 56)</t>
        </is>
      </c>
      <c r="F40" s="12" t="inlineStr">
        <is>
          <t>Notes to Financial Statements 31 March 2026 4. Segment Information (Continued) Segment liabilities exclude deferred tax liabilities and other unallocated head office and corporate liabilities as these liabilities are managed on a group basis. Procurement Hotel and and serviced sale of dried Property apartment cassava chips investment operations Total HK$’000 HK$’000 HK$’000 HK$’000 Year ended 31 March 2026 Segment revenue: Sales to external cu</t>
        </is>
      </c>
    </row>
    <row r="41">
      <c r="A41" s="8" t="inlineStr">
        <is>
          <t>Segment Information</t>
        </is>
      </c>
      <c r="B41" s="8" t="inlineStr">
        <is>
          <t>分部資料</t>
        </is>
      </c>
      <c r="C41" s="8" t="inlineStr">
        <is>
          <t>medium</t>
        </is>
      </c>
      <c r="D41" s="12" t="inlineStr">
        <is>
          <t>segment information</t>
        </is>
      </c>
      <c r="E41" s="12" t="inlineStr">
        <is>
          <t>PDF p.58 (印刷頁 57)</t>
        </is>
      </c>
      <c r="F41" s="12" t="inlineStr">
        <is>
          <t>Notes to Financial Statements 31 March 2026 4. Segment Information (Continued) Procurement Hotel and and serviced sale of dried Property apartment cassava chips investment operations Total HK$’000 HK$’000 HK$’000 HK$’000 Year ended 31 March 2025 Segment revenue: Sales to external customers 960,498 – – 960,498 Hotel room and serviced apartment revenue, and food and beverage income – – 13,044 13,044 Gross rental income – 4,361 – 4,361 Total 960,</t>
        </is>
      </c>
    </row>
    <row r="42">
      <c r="A42" s="8" t="inlineStr">
        <is>
          <t>Segment Information</t>
        </is>
      </c>
      <c r="B42" s="8" t="inlineStr">
        <is>
          <t>分部資料</t>
        </is>
      </c>
      <c r="C42" s="8" t="inlineStr">
        <is>
          <t>medium</t>
        </is>
      </c>
      <c r="D42" s="12" t="inlineStr">
        <is>
          <t>segment information</t>
        </is>
      </c>
      <c r="E42" s="12" t="inlineStr">
        <is>
          <t>PDF p.59 (印刷頁 58)</t>
        </is>
      </c>
      <c r="F42" s="12" t="inlineStr">
        <is>
          <t>Notes to Financial Statements 31 March 2026 4. Segment Information (Continued) Geographical information (a) Revenue from external customers 2026 2025 HK$’000 HK$’000 Mainland China 1,252,368 963,618 Hong Kong 15,088 14,285 Thailand 7,847 – 1,275,303 977,903 The revenue information above is based on the locations of the customers. (b) Non-current assets 2026 2025 HK$’000 HK$’000 Hong Kong 856,173 838,353 Mainland China 37,012 43,114 Thailand 39</t>
        </is>
      </c>
    </row>
    <row r="43">
      <c r="A43" s="8" t="inlineStr">
        <is>
          <t>Segment Information</t>
        </is>
      </c>
      <c r="B43" s="8" t="inlineStr">
        <is>
          <t>分部資料</t>
        </is>
      </c>
      <c r="C43" s="8" t="inlineStr">
        <is>
          <t>medium</t>
        </is>
      </c>
      <c r="D43" s="12" t="inlineStr">
        <is>
          <t>geographical</t>
        </is>
      </c>
      <c r="E43" s="12" t="inlineStr">
        <is>
          <t>PDF p.60 (印刷頁 59)</t>
        </is>
      </c>
      <c r="F43" s="12" t="inlineStr">
        <is>
          <t>4,693 – 1,254,693 Hotel room and serviced apartment revenue, and food and beverage income – 14,872 14,872 1,254,693 14,872 1,269,565 Geographical markets Mainland China 1,254,693 4,395 1,259,088 Hong Kong – 10,477 10,477 1,254,693 14,872 1,269,565 Timing of revenue recognition Goods transferred at a point in time 1,254,693 – 1,254,693 Services transferred over time – 14,872 14,872 59 Asia Cassava Resources Holdings Limited Annual Report 2026</t>
        </is>
      </c>
    </row>
    <row r="44">
      <c r="A44" s="8" t="inlineStr">
        <is>
          <t>Segment Information</t>
        </is>
      </c>
      <c r="B44" s="8" t="inlineStr">
        <is>
          <t>分部資料</t>
        </is>
      </c>
      <c r="C44" s="8" t="inlineStr">
        <is>
          <t>medium</t>
        </is>
      </c>
      <c r="D44" s="12" t="inlineStr">
        <is>
          <t>geographical</t>
        </is>
      </c>
      <c r="E44" s="12" t="inlineStr">
        <is>
          <t>PDF p.61 (印刷頁 60)</t>
        </is>
      </c>
      <c r="F44" s="12" t="inlineStr">
        <is>
          <t>ods 960,498 – 960,498 Hotel room and serviced apartment revenue, and food and beverage income – 13,044 13,044 960,498 13,044 973,542 Geographical markets Mainland China 960,498 2,386 962,884 Hong Kong – 10,658 10,658 960,498 13,044 973,542 Timing of revenue recognition Goods transferred at a point in time 960,498 – 960,498 Services transferred over time – 13,044 13,044 There were no intersegment adjustments and eliminations noted during the years ended 31 March 2026 and 2025. Hotel room and serviced apartment Sale of dried reve</t>
        </is>
      </c>
    </row>
    <row r="45">
      <c r="A45" s="8" t="inlineStr">
        <is>
          <t>Segment Information</t>
        </is>
      </c>
      <c r="B45" s="8" t="inlineStr">
        <is>
          <t>分部資料</t>
        </is>
      </c>
      <c r="C45" s="8" t="inlineStr">
        <is>
          <t>medium</t>
        </is>
      </c>
      <c r="D45" s="12" t="inlineStr">
        <is>
          <t>geographical</t>
        </is>
      </c>
      <c r="E45" s="12" t="inlineStr">
        <is>
          <t>PDF p.78 (印刷頁 77)</t>
        </is>
      </c>
      <c r="F45" s="12" t="inlineStr">
        <is>
          <t>sses. The provision rates are based on days past due for groupings of various customer segments with similar loss patterns (i.e., by geographical region, product/service type, customer type and rating, and coverage by letters of credit). The calculation reflects the probability-weighted outcome, the time value of money and reasonable and supportable information that is available at the reporting date about past events, current conditions and forecasts of future economic conditions. Generally, trade receivables are written off i</t>
        </is>
      </c>
    </row>
    <row r="46">
      <c r="A46" s="8" t="inlineStr">
        <is>
          <t>Related Party Transactions</t>
        </is>
      </c>
      <c r="B46" s="8" t="inlineStr">
        <is>
          <t>關聯方交易</t>
        </is>
      </c>
      <c r="C46" s="8" t="inlineStr">
        <is>
          <t>low</t>
        </is>
      </c>
      <c r="D46" s="12" t="inlineStr">
        <is>
          <t>connected transaction</t>
        </is>
      </c>
      <c r="E46" s="12" t="inlineStr">
        <is>
          <t>PDF p.11 (印刷頁 10)</t>
        </is>
      </c>
      <c r="F46" s="12" t="inlineStr">
        <is>
          <t>e Group. Directors’ interests in transactions, arrangements or contracts Save as the transactions set out in the section “Continuing connected transactions” and in note 28(a) to the financial statements, no director nor a connected entity of a director had a material interest, either directly or indirectly, in any transactions, arrangements or contracts of significance to the business of the Group to which the holding company of the Company, or any of the Company’s subsidiaries and fellow subsidiaries was a party during the yea</t>
        </is>
      </c>
    </row>
    <row r="47">
      <c r="A47" s="8" t="inlineStr">
        <is>
          <t>Related Party Transactions</t>
        </is>
      </c>
      <c r="B47" s="8" t="inlineStr">
        <is>
          <t>關聯方交易</t>
        </is>
      </c>
      <c r="C47" s="8" t="inlineStr">
        <is>
          <t>low</t>
        </is>
      </c>
      <c r="D47" s="12" t="inlineStr">
        <is>
          <t>connected transaction</t>
        </is>
      </c>
      <c r="E47" s="12" t="inlineStr">
        <is>
          <t>PDF p.12 (印刷頁 11)</t>
        </is>
      </c>
      <c r="F47" s="12" t="inlineStr">
        <is>
          <t>on in the shares or underlying shares of the Company that was required to be recorded pursuant to section 336 of the SFO. Continuing connected transactions During the year, the Group had the following continuing connected transaction, certain details of which are disclosed in compliance with the requirements of Chapter 14A of the Rules Governing the Listing of Securities on the Stock Exchange (the “Listing Rules”). (a) Lease from Alther Limited (“Alther”) in relation to an office in Hong Kong On 1 April 2025, the Group and Alth</t>
        </is>
      </c>
    </row>
    <row r="48">
      <c r="A48" s="8" t="inlineStr">
        <is>
          <t>Related Party Transactions</t>
        </is>
      </c>
      <c r="B48" s="8" t="inlineStr">
        <is>
          <t>關聯方交易</t>
        </is>
      </c>
      <c r="C48" s="8" t="inlineStr">
        <is>
          <t>low</t>
        </is>
      </c>
      <c r="D48" s="12" t="inlineStr">
        <is>
          <t>connected transaction</t>
        </is>
      </c>
      <c r="E48" s="12" t="inlineStr">
        <is>
          <t>PDF p.13 (印刷頁 12)</t>
        </is>
      </c>
      <c r="F48" s="12" t="inlineStr">
        <is>
          <t>Report of the Directors Continuing connected transactions (Continued) (b) Lease from Allied Surplus Properties Limited (“Allied Surplus”) in relation to staff quarters in Hong Kong On 1 April 2025, the Group and Allied Surplus entered into a lease agreement, pursuant to which Allied Surplus, a Company Controlled by Mrs. Chu, (as landlord) agreed to lease a property located at Flat A, 19/F., Aster Sky, The Cullinan I, 1 Austin Road</t>
        </is>
      </c>
    </row>
    <row r="49">
      <c r="A49" s="8" t="inlineStr">
        <is>
          <t>Related Party Transactions</t>
        </is>
      </c>
      <c r="B49" s="8" t="inlineStr">
        <is>
          <t>關聯方交易</t>
        </is>
      </c>
      <c r="C49" s="8" t="inlineStr">
        <is>
          <t>low</t>
        </is>
      </c>
      <c r="D49" s="12" t="inlineStr">
        <is>
          <t>related party</t>
        </is>
      </c>
      <c r="E49" s="12" t="inlineStr">
        <is>
          <t>PDF p.85 (印刷頁 84)</t>
        </is>
      </c>
      <c r="F49" s="12" t="inlineStr">
        <is>
          <t>Notes to Financial Statements 31 March 2026 28. Related Party Transactions (a) In addition to the transactions detailed elsewhere in these consolidated financial statements, the Group had the following material transactions with related parties during the year: 2026 2025 HK$’000 HK$’000 Rental expenses to related companies* (Note) 840 1,270 * Mr. Chu Ming Chuan, a director of the Company, is the controlling shareholder of these related companie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
  <sheetViews>
    <sheetView workbookViewId="0">
      <pane ySplit="25" topLeftCell="A26"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Trade Receivables</t>
        </is>
      </c>
    </row>
    <row r="14">
      <c r="A14" s="8" t="inlineStr">
        <is>
          <t>Balance Sheet</t>
        </is>
      </c>
      <c r="B14" s="8" t="inlineStr">
        <is>
          <t>Goodwill</t>
        </is>
      </c>
    </row>
    <row r="15">
      <c r="A15" s="8" t="inlineStr">
        <is>
          <t>Balance Sheet</t>
        </is>
      </c>
      <c r="B15" s="8" t="inlineStr">
        <is>
          <t>Intangible Assets</t>
        </is>
      </c>
    </row>
    <row r="16">
      <c r="A16" s="8" t="inlineStr">
        <is>
          <t>Balance Sheet</t>
        </is>
      </c>
      <c r="B16" s="8" t="inlineStr">
        <is>
          <t>Total Liabilities</t>
        </is>
      </c>
    </row>
    <row r="17">
      <c r="A17" s="8" t="inlineStr">
        <is>
          <t>Balance Sheet</t>
        </is>
      </c>
      <c r="B17" s="8" t="inlineStr">
        <is>
          <t>Borrowings</t>
        </is>
      </c>
    </row>
    <row r="18">
      <c r="A18" s="8" t="inlineStr">
        <is>
          <t>Cash Flow</t>
        </is>
      </c>
      <c r="B18" s="8" t="inlineStr">
        <is>
          <t>Investing Cash Flow</t>
        </is>
      </c>
    </row>
    <row r="19">
      <c r="A19" s="8" t="inlineStr">
        <is>
          <t>Cash Flow</t>
        </is>
      </c>
      <c r="B19" s="8" t="inlineStr">
        <is>
          <t>Financing Cash Flow</t>
        </is>
      </c>
    </row>
    <row r="22">
      <c r="A22" s="5" t="inlineStr">
        <is>
          <t>二、文字量過低的頁面(疑似掃描頁)</t>
        </is>
      </c>
    </row>
    <row r="23">
      <c r="A23" s="2" t="inlineStr">
        <is>
          <t>這些頁面幾乎抓不到文字,通常是掃描件或純圖表,建議人手翻閱或另行 OCR。</t>
        </is>
      </c>
    </row>
    <row r="25">
      <c r="A25" s="7" t="inlineStr">
        <is>
          <t>PDF 頁碼</t>
        </is>
      </c>
      <c r="B25" s="7" t="inlineStr">
        <is>
          <t>狀態</t>
        </is>
      </c>
    </row>
    <row r="26">
      <c r="A26"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2026-08-30T14:16:42Z</dcterms:created>
  <dcterms:modified xsi:type="dcterms:W3CDTF">2026-08-30T14:16:42Z</dcterms:modified>
</cp:coreProperties>
</file>
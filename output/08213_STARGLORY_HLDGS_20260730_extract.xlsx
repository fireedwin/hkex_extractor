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5">
    <fill>
      <patternFill/>
    </fill>
    <fill>
      <patternFill patternType="gray125"/>
    </fill>
    <fill>
      <patternFill patternType="solid">
        <fgColor rgb="001F4E5F"/>
      </patternFill>
    </fill>
    <fill>
      <patternFill patternType="solid">
        <fgColor rgb="00FFF2CC"/>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0" fontId="4" fillId="3"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08213_STARGLORY_HLDGS_20260730.pdf</t>
        </is>
      </c>
    </row>
    <row r="5">
      <c r="A5" s="3" t="inlineStr">
        <is>
          <t>產生時間 Generated</t>
        </is>
      </c>
      <c r="B5" s="4" t="inlineStr">
        <is>
          <t>2026-08-30 22:15</t>
        </is>
      </c>
    </row>
    <row r="6">
      <c r="A6" s="4" t="inlineStr"/>
      <c r="B6" s="4" t="inlineStr"/>
    </row>
    <row r="7">
      <c r="A7" s="3" t="inlineStr">
        <is>
          <t>總頁數 Total pages</t>
        </is>
      </c>
      <c r="B7" s="4" t="n">
        <v>151</v>
      </c>
    </row>
    <row r="8">
      <c r="A8" s="3" t="inlineStr">
        <is>
          <t>已擷取字元 Characters extracted</t>
        </is>
      </c>
      <c r="B8" s="4" t="n">
        <v>315285</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9</v>
      </c>
    </row>
    <row r="13">
      <c r="A13" s="3" t="inlineStr">
        <is>
          <t>財務科目擷取筆數 Financial line items</t>
        </is>
      </c>
      <c r="B13" s="4" t="n">
        <v>16</v>
      </c>
    </row>
    <row r="14">
      <c r="A14" s="3" t="inlineStr">
        <is>
          <t>主題段落擷取筆數 Topic extracts</t>
        </is>
      </c>
      <c r="B14" s="4" t="n">
        <v>67</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17,269 − 142,604 = -125,335</t>
        </is>
      </c>
    </row>
    <row r="20">
      <c r="A20" s="6" t="inlineStr">
        <is>
          <t>✓ 收入 − 銷售成本 = 毛利</t>
        </is>
      </c>
      <c r="B20" s="4" t="inlineStr">
        <is>
          <t>15,052 − 8,804 = 6,248 vs 毛利 6,248</t>
        </is>
      </c>
    </row>
    <row r="21">
      <c r="A21" s="6" t="inlineStr">
        <is>
          <t>✓ 除稅前溢利 ± 稅項 = 年內溢利</t>
        </is>
      </c>
      <c r="B21" s="4" t="inlineStr">
        <is>
          <t>-26,072 + 0 = -26,072 vs -26,072</t>
        </is>
      </c>
    </row>
    <row r="22">
      <c r="A22" s="6" t="inlineStr">
        <is>
          <t>✓ 三大報表應相鄰</t>
        </is>
      </c>
      <c r="B22" s="4" t="inlineStr">
        <is>
          <t>Income Statement: p.73、Balance Sheet: p.75、Cash Flow: p.78(相距 5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16.8</v>
      </c>
      <c r="D5" s="10" t="n">
        <v>16.8</v>
      </c>
      <c r="E5" s="11" t="inlineStr">
        <is>
          <t>16.8%</t>
        </is>
      </c>
      <c r="F5" s="11" t="inlineStr">
        <is>
          <t>Medium</t>
        </is>
      </c>
      <c r="G5" s="11" t="inlineStr">
        <is>
          <t>PDF p.121 (印刷頁 120)</t>
        </is>
      </c>
      <c r="H5" s="11" t="inlineStr">
        <is>
          <t xml:space="preserve"> period are extrapolated using a steady 2% growth rate (2025: 2%). The post-tax discount rate used for measuring the amount of FVLCOD was 16.8% per annum (2025: 15.9%). The discount rate adopted was by reference to WACC of comparable companies which wer</t>
        </is>
      </c>
    </row>
    <row r="6">
      <c r="A6" s="8" t="inlineStr">
        <is>
          <t>Discount Rate</t>
        </is>
      </c>
      <c r="B6" s="8" t="inlineStr">
        <is>
          <t>折現率</t>
        </is>
      </c>
      <c r="C6" s="9" t="n">
        <v>15.9</v>
      </c>
      <c r="D6" s="10" t="n">
        <v>15.9</v>
      </c>
      <c r="E6" s="11" t="inlineStr">
        <is>
          <t>15.9%</t>
        </is>
      </c>
      <c r="F6" s="11" t="inlineStr">
        <is>
          <t>Medium</t>
        </is>
      </c>
      <c r="G6" s="11" t="inlineStr">
        <is>
          <t>PDF p.121 (印刷頁 120)</t>
        </is>
      </c>
      <c r="H6" s="11" t="inlineStr">
        <is>
          <t xml:space="preserve"> used for measuring the amount of FVLCOD was 16.8% per annum (2025: 15.9%). The discount rate adopted was by reference to WACC of comparable companies which were engaged in the similar business. The other key assumptions for the FVLCOD calculation inclu</t>
        </is>
      </c>
    </row>
    <row r="7">
      <c r="A7" s="8" t="inlineStr">
        <is>
          <t>Discount Rate</t>
        </is>
      </c>
      <c r="B7" s="8" t="inlineStr">
        <is>
          <t>折現率</t>
        </is>
      </c>
      <c r="C7" s="9" t="n">
        <v>11.56</v>
      </c>
      <c r="D7" s="10" t="n">
        <v>11.56</v>
      </c>
      <c r="E7" s="11" t="inlineStr">
        <is>
          <t>11.56%</t>
        </is>
      </c>
      <c r="F7" s="11" t="inlineStr">
        <is>
          <t>High</t>
        </is>
      </c>
      <c r="G7" s="11" t="inlineStr">
        <is>
          <t>PDF p.122 (印刷頁 121)</t>
        </is>
      </c>
      <c r="H7" s="11" t="inlineStr">
        <is>
          <t>ross margin 43.15% Budgeted operating costs to turnover ratio 55% – 57% Pre-tax discount rates 11.56% Growth rates in turnover Growth rates in turnover adopted in the 2025 Forecast are based on the historical growth rate of each of the cake shops operat</t>
        </is>
      </c>
    </row>
    <row r="8">
      <c r="A8" s="8" t="inlineStr">
        <is>
          <t>Gross Margin</t>
        </is>
      </c>
      <c r="B8" s="8" t="inlineStr">
        <is>
          <t>毛利率</t>
        </is>
      </c>
      <c r="C8" s="9" t="n">
        <v>41.5</v>
      </c>
      <c r="D8" s="10" t="n">
        <v>41.5</v>
      </c>
      <c r="E8" s="11" t="inlineStr">
        <is>
          <t>41.5%</t>
        </is>
      </c>
      <c r="F8" s="11" t="inlineStr">
        <is>
          <t>Medium</t>
        </is>
      </c>
      <c r="G8" s="11" t="inlineStr">
        <is>
          <t>PDF p.45 (印刷頁 44)</t>
        </is>
      </c>
      <c r="H8" s="11" t="inlineStr">
        <is>
          <t>imately HK$26.1 million (2025: approximately HK$22.3 million). Gross profit The gross profit margin from the operations of the Group remained stable at approximately 41.5% (2025: approximately 43.0%). In response to evolving market dynamics, the Group has pro</t>
        </is>
      </c>
    </row>
    <row r="9">
      <c r="A9" s="8" t="inlineStr">
        <is>
          <t>Gross Margin</t>
        </is>
      </c>
      <c r="B9" s="8" t="inlineStr">
        <is>
          <t>毛利率</t>
        </is>
      </c>
      <c r="C9" s="9" t="n">
        <v>43.15</v>
      </c>
      <c r="D9" s="10" t="n">
        <v>43.15</v>
      </c>
      <c r="E9" s="11" t="inlineStr">
        <is>
          <t>43.15%</t>
        </is>
      </c>
      <c r="F9" s="11" t="inlineStr">
        <is>
          <t>High</t>
        </is>
      </c>
      <c r="G9" s="11" t="inlineStr">
        <is>
          <t>PDF p.122 (印刷頁 121)</t>
        </is>
      </c>
      <c r="H9" s="11" t="inlineStr">
        <is>
          <t>ch 2024 to the year ended 31 March 2025, for the sake of prudence, the budgeted gross margin in the 2025 Forecast was assumed to be 43.15%. Budgeted operating cost to turnover ratio Budgeted operating costs of the ITHK CGU for the 2025 Forecast include</t>
        </is>
      </c>
    </row>
    <row r="10">
      <c r="A10" s="8" t="inlineStr">
        <is>
          <t>Gross Margin</t>
        </is>
      </c>
      <c r="B10" s="8" t="inlineStr">
        <is>
          <t>毛利率</t>
        </is>
      </c>
      <c r="C10" s="9" t="n">
        <v>55</v>
      </c>
      <c r="D10" s="10" t="n">
        <v>57</v>
      </c>
      <c r="E10" s="11" t="inlineStr">
        <is>
          <t>55% – 57%</t>
        </is>
      </c>
      <c r="F10" s="11" t="inlineStr">
        <is>
          <t>Medium</t>
        </is>
      </c>
      <c r="G10" s="11" t="inlineStr">
        <is>
          <t>PDF p.122 (印刷頁 121)</t>
        </is>
      </c>
      <c r="H10" s="11" t="inlineStr">
        <is>
          <t>ecast Cake shops operation: 2.5% Long-term growth rates in turnover 0% Budgeted gross margin 43.15% Budgeted operating costs to turnover ratio 55% – 57% Pre-tax discount rates 11.56% Growth rates in turnover Growth rates in turnover adopted in the 2025</t>
        </is>
      </c>
    </row>
    <row r="11">
      <c r="A11" s="8" t="inlineStr">
        <is>
          <t>Terminal Growth Rate</t>
        </is>
      </c>
      <c r="B11" s="8" t="inlineStr">
        <is>
          <t>永續增長率</t>
        </is>
      </c>
      <c r="C11" s="9" t="n">
        <v>0</v>
      </c>
      <c r="D11" s="10" t="n">
        <v>0</v>
      </c>
      <c r="E11" s="11" t="inlineStr">
        <is>
          <t>0%</t>
        </is>
      </c>
      <c r="F11" s="11" t="inlineStr">
        <is>
          <t>High</t>
        </is>
      </c>
      <c r="G11" s="11" t="inlineStr">
        <is>
          <t>PDF p.121 (印刷頁 120)</t>
        </is>
      </c>
      <c r="H11" s="11" t="inlineStr">
        <is>
          <t>or the period beyond the Forecast Period was extrapolated in perpetuity using a long-term growth rate of 0%. 120 StarGlory Holdings Company Limited Annual Report 2025-2026</t>
        </is>
      </c>
    </row>
    <row r="12">
      <c r="A12" s="8" t="inlineStr">
        <is>
          <t>Terminal Growth Rate</t>
        </is>
      </c>
      <c r="B12" s="8" t="inlineStr">
        <is>
          <t>永續增長率</t>
        </is>
      </c>
      <c r="C12" s="9" t="n">
        <v>0</v>
      </c>
      <c r="D12" s="10" t="n">
        <v>0</v>
      </c>
      <c r="E12" s="11" t="inlineStr">
        <is>
          <t>0%</t>
        </is>
      </c>
      <c r="F12" s="11" t="inlineStr">
        <is>
          <t>High</t>
        </is>
      </c>
      <c r="G12" s="11" t="inlineStr">
        <is>
          <t>PDF p.122 (印刷頁 121)</t>
        </is>
      </c>
      <c r="H12" s="11" t="inlineStr">
        <is>
          <t>annum based on the characteristics and trend in the food and beverage industry. Long-term growth rate of 0% is prudently assumed by the management for forecast period beyond 31 March 2030 in light of the market volatility and uncertainties in the forecast perio</t>
        </is>
      </c>
    </row>
    <row r="13">
      <c r="A13" s="8" t="inlineStr">
        <is>
          <t>WACC</t>
        </is>
      </c>
      <c r="B13" s="8" t="inlineStr">
        <is>
          <t>加權平均資本成本</t>
        </is>
      </c>
      <c r="C13" s="9" t="n">
        <v>10</v>
      </c>
      <c r="D13" s="10" t="n">
        <v>10</v>
      </c>
      <c r="E13" s="11" t="inlineStr">
        <is>
          <t>10%</t>
        </is>
      </c>
      <c r="F13" s="12" t="inlineStr">
        <is>
          <t>Low</t>
        </is>
      </c>
      <c r="G13" s="11" t="inlineStr">
        <is>
          <t>PDF p.121 (印刷頁 120)</t>
        </is>
      </c>
      <c r="H13" s="11" t="inlineStr">
        <is>
          <t>as 16.8% per annum (2025: 15.9%). The discount rate adopted was by reference to WACC of comparable companies which were engaged in the similar business. The other key assumptions for the FVLCOD calculation include 10% (2025: 10%) growth rate be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3" t="n">
        <v>15052</v>
      </c>
      <c r="D5" s="14" t="n">
        <v>37416</v>
      </c>
      <c r="E5" s="15">
        <f>IF(ISERROR((C5-D5)/ABS(D5)),"",(C5-D5)/ABS(D5))</f>
        <v>-0.5977122086807782</v>
      </c>
      <c r="F5" s="11" t="inlineStr">
        <is>
          <t>PDF p.73 (印刷頁 72)</t>
        </is>
      </c>
      <c r="G5" s="11" t="inlineStr">
        <is>
          <t>Revenue 4 15,052 37,416</t>
        </is>
      </c>
    </row>
    <row r="6">
      <c r="A6" s="8" t="inlineStr">
        <is>
          <t>Income Statement</t>
        </is>
      </c>
      <c r="B6" s="8" t="inlineStr">
        <is>
          <t>Cost of Sales</t>
        </is>
      </c>
      <c r="C6" s="13" t="n">
        <v>-8804</v>
      </c>
      <c r="D6" s="14" t="n">
        <v>-21312</v>
      </c>
      <c r="E6" s="15">
        <f>IF(ISERROR((C6-D6)/ABS(D6)),"",(C6-D6)/ABS(D6))</f>
        <v>0.5868993993993994</v>
      </c>
      <c r="F6" s="11" t="inlineStr">
        <is>
          <t>PDF p.73 (印刷頁 72)</t>
        </is>
      </c>
      <c r="G6" s="11" t="inlineStr">
        <is>
          <t>Cost of sales (8,804) (21,312)</t>
        </is>
      </c>
    </row>
    <row r="7">
      <c r="A7" s="8" t="inlineStr">
        <is>
          <t>Income Statement</t>
        </is>
      </c>
      <c r="B7" s="8" t="inlineStr">
        <is>
          <t>Gross Profit</t>
        </is>
      </c>
      <c r="C7" s="13" t="n">
        <v>6248</v>
      </c>
      <c r="D7" s="14" t="n">
        <v>16104</v>
      </c>
      <c r="E7" s="15">
        <f>IF(ISERROR((C7-D7)/ABS(D7)),"",(C7-D7)/ABS(D7))</f>
        <v>-0.6120218579234973</v>
      </c>
      <c r="F7" s="11" t="inlineStr">
        <is>
          <t>PDF p.73 (印刷頁 72)</t>
        </is>
      </c>
      <c r="G7" s="11" t="inlineStr">
        <is>
          <t>Gross profit 6,248 16,104</t>
        </is>
      </c>
    </row>
    <row r="8">
      <c r="A8" s="8" t="inlineStr">
        <is>
          <t>Income Statement</t>
        </is>
      </c>
      <c r="B8" s="8" t="inlineStr">
        <is>
          <t>Operating Profit</t>
        </is>
      </c>
      <c r="C8" s="13" t="n">
        <v>-19905</v>
      </c>
      <c r="D8" s="14" t="n">
        <v>-17155</v>
      </c>
      <c r="E8" s="15">
        <f>IF(ISERROR((C8-D8)/ABS(D8)),"",(C8-D8)/ABS(D8))</f>
        <v>-0.1603031186243078</v>
      </c>
      <c r="F8" s="11" t="inlineStr">
        <is>
          <t>PDF p.73 (印刷頁 72)</t>
        </is>
      </c>
      <c r="G8" s="11" t="inlineStr">
        <is>
          <t>Operating loss (19,905) (17,155)</t>
        </is>
      </c>
    </row>
    <row r="9">
      <c r="A9" s="8" t="inlineStr">
        <is>
          <t>Income Statement</t>
        </is>
      </c>
      <c r="B9" s="8" t="inlineStr">
        <is>
          <t>Finance Costs</t>
        </is>
      </c>
      <c r="C9" s="13" t="n">
        <v>-6167</v>
      </c>
      <c r="D9" s="14" t="n">
        <v>-5125</v>
      </c>
      <c r="E9" s="15">
        <f>IF(ISERROR((C9-D9)/ABS(D9)),"",(C9-D9)/ABS(D9))</f>
        <v>-0.2033170731707317</v>
      </c>
      <c r="F9" s="11" t="inlineStr">
        <is>
          <t>PDF p.73 (印刷頁 72)</t>
        </is>
      </c>
      <c r="G9" s="11" t="inlineStr">
        <is>
          <t>Finance costs 6(a) (6,167) (5,125)</t>
        </is>
      </c>
    </row>
    <row r="10">
      <c r="A10" s="8" t="inlineStr">
        <is>
          <t>Income Statement</t>
        </is>
      </c>
      <c r="B10" s="8" t="inlineStr">
        <is>
          <t>Profit Before Tax</t>
        </is>
      </c>
      <c r="C10" s="13" t="n">
        <v>-26072</v>
      </c>
      <c r="D10" s="14" t="n">
        <v>-22280</v>
      </c>
      <c r="E10" s="15">
        <f>IF(ISERROR((C10-D10)/ABS(D10)),"",(C10-D10)/ABS(D10))</f>
        <v>-0.170197486535009</v>
      </c>
      <c r="F10" s="11" t="inlineStr">
        <is>
          <t>PDF p.73 (印刷頁 72)</t>
        </is>
      </c>
      <c r="G10" s="11" t="inlineStr">
        <is>
          <t>Loss before income tax 6 (26,072) (22,280)</t>
        </is>
      </c>
    </row>
    <row r="11">
      <c r="A11" s="8" t="inlineStr">
        <is>
          <t>Income Statement</t>
        </is>
      </c>
      <c r="B11" s="8" t="inlineStr">
        <is>
          <t>Income Tax</t>
        </is>
      </c>
      <c r="C11" s="13" t="n">
        <v>0</v>
      </c>
      <c r="D11" s="14" t="n">
        <v>0</v>
      </c>
      <c r="E11" s="15" t="str">
        <f>IF(ISERROR((C11-D11)/ABS(D11)),"",(C11-D11)/ABS(D11))</f>
        <v/>
      </c>
      <c r="F11" s="11" t="inlineStr">
        <is>
          <t>PDF p.73 (印刷頁 72)</t>
        </is>
      </c>
      <c r="G11" s="11" t="inlineStr">
        <is>
          <t>Income tax expenses 8(a) – –</t>
        </is>
      </c>
    </row>
    <row r="12">
      <c r="A12" s="8" t="inlineStr">
        <is>
          <t>Income Statement</t>
        </is>
      </c>
      <c r="B12" s="8" t="inlineStr">
        <is>
          <t>Profit for the Year</t>
        </is>
      </c>
      <c r="C12" s="13" t="n">
        <v>-26072</v>
      </c>
      <c r="D12" s="14" t="n">
        <v>-22280</v>
      </c>
      <c r="E12" s="15">
        <f>IF(ISERROR((C12-D12)/ABS(D12)),"",(C12-D12)/ABS(D12))</f>
        <v>-0.170197486535009</v>
      </c>
      <c r="F12" s="11" t="inlineStr">
        <is>
          <t>PDF p.73 (印刷頁 72)</t>
        </is>
      </c>
      <c r="G12" s="11" t="inlineStr">
        <is>
          <t>Loss for the year (26,072) (22,280)</t>
        </is>
      </c>
    </row>
    <row r="13">
      <c r="A13" s="8" t="inlineStr">
        <is>
          <t>Balance Sheet</t>
        </is>
      </c>
      <c r="B13" s="8" t="inlineStr">
        <is>
          <t>Intangible Assets</t>
        </is>
      </c>
      <c r="C13" s="13" t="n">
        <v>0</v>
      </c>
      <c r="D13" s="14" t="n">
        <v>4671</v>
      </c>
      <c r="E13" s="15">
        <f>IF(ISERROR((C13-D13)/ABS(D13)),"",(C13-D13)/ABS(D13))</f>
        <v>-1.0</v>
      </c>
      <c r="F13" s="11" t="inlineStr">
        <is>
          <t>PDF p.75 (印刷頁 74)</t>
        </is>
      </c>
      <c r="G13" s="11" t="inlineStr">
        <is>
          <t>Intangible assets 14 – 4,671</t>
        </is>
      </c>
    </row>
    <row r="14">
      <c r="A14" s="8" t="inlineStr">
        <is>
          <t>Balance Sheet</t>
        </is>
      </c>
      <c r="B14" s="8" t="inlineStr">
        <is>
          <t>Inventories</t>
        </is>
      </c>
      <c r="C14" s="13" t="n">
        <v>17</v>
      </c>
      <c r="D14" s="14" t="n">
        <v>65</v>
      </c>
      <c r="E14" s="15">
        <f>IF(ISERROR((C14-D14)/ABS(D14)),"",(C14-D14)/ABS(D14))</f>
        <v>-0.7384615384615385</v>
      </c>
      <c r="F14" s="11" t="inlineStr">
        <is>
          <t>PDF p.75 (印刷頁 74)</t>
        </is>
      </c>
      <c r="G14" s="11" t="inlineStr">
        <is>
          <t>Inventories 17 17 65</t>
        </is>
      </c>
    </row>
    <row r="15">
      <c r="A15" s="8" t="inlineStr">
        <is>
          <t>Balance Sheet</t>
        </is>
      </c>
      <c r="B15" s="8" t="inlineStr">
        <is>
          <t>Cash and Equivalents</t>
        </is>
      </c>
      <c r="C15" s="13" t="n">
        <v>8496</v>
      </c>
      <c r="D15" s="14" t="n">
        <v>24397</v>
      </c>
      <c r="E15" s="15">
        <f>IF(ISERROR((C15-D15)/ABS(D15)),"",(C15-D15)/ABS(D15))</f>
        <v>-0.6517604623519285</v>
      </c>
      <c r="F15" s="11" t="inlineStr">
        <is>
          <t>PDF p.75 (印刷頁 74)</t>
        </is>
      </c>
      <c r="G15" s="11" t="inlineStr">
        <is>
          <t>Cash and cash equivalents 19 8,496 24,397</t>
        </is>
      </c>
    </row>
    <row r="16">
      <c r="A16" s="8" t="inlineStr">
        <is>
          <t>Balance Sheet</t>
        </is>
      </c>
      <c r="B16" s="8" t="inlineStr">
        <is>
          <t>Total Equity</t>
        </is>
      </c>
      <c r="C16" s="13" t="n">
        <v>-157198</v>
      </c>
      <c r="D16" s="14" t="n">
        <v>-130728</v>
      </c>
      <c r="E16" s="15">
        <f>IF(ISERROR((C16-D16)/ABS(D16)),"",(C16-D16)/ABS(D16))</f>
        <v>-0.20248148828101095</v>
      </c>
      <c r="F16" s="11" t="inlineStr">
        <is>
          <t>PDF p.76 (印刷頁 75)</t>
        </is>
      </c>
      <c r="G16" s="11" t="inlineStr">
        <is>
          <t>TOTAL EQUITY (157,198) (130,728)</t>
        </is>
      </c>
    </row>
    <row r="17">
      <c r="A17" s="8" t="inlineStr">
        <is>
          <t>Balance Sheet</t>
        </is>
      </c>
      <c r="B17" s="8" t="inlineStr">
        <is>
          <t>Total Current Assets</t>
        </is>
      </c>
      <c r="C17" s="13" t="n">
        <v>17269</v>
      </c>
      <c r="D17" s="14" t="n">
        <v>35946</v>
      </c>
      <c r="E17" s="15">
        <f>IF(ISERROR((C17-D17)/ABS(D17)),"",(C17-D17)/ABS(D17))</f>
        <v>-0.5195849329549881</v>
      </c>
      <c r="F17" s="11" t="inlineStr">
        <is>
          <t>PDF p.75 (印刷頁 74)</t>
        </is>
      </c>
      <c r="G17" s="11" t="inlineStr">
        <is>
          <t>[current assets 區段小計] 17,269 35,946</t>
        </is>
      </c>
    </row>
    <row r="18">
      <c r="A18" s="8" t="inlineStr">
        <is>
          <t>Balance Sheet</t>
        </is>
      </c>
      <c r="B18" s="8" t="inlineStr">
        <is>
          <t>Total Current Liabilities</t>
        </is>
      </c>
      <c r="C18" s="13" t="n">
        <v>142604</v>
      </c>
      <c r="D18" s="14" t="n">
        <v>147176</v>
      </c>
      <c r="E18" s="15">
        <f>IF(ISERROR((C18-D18)/ABS(D18)),"",(C18-D18)/ABS(D18))</f>
        <v>-0.031064847529488505</v>
      </c>
      <c r="F18" s="11" t="inlineStr">
        <is>
          <t>PDF p.75 (印刷頁 74)</t>
        </is>
      </c>
      <c r="G18" s="11" t="inlineStr">
        <is>
          <t>[current liabilities 區段小計] 142,604 147,176</t>
        </is>
      </c>
    </row>
    <row r="19">
      <c r="A19" s="8" t="inlineStr">
        <is>
          <t>Cash Flow</t>
        </is>
      </c>
      <c r="B19" s="8" t="inlineStr">
        <is>
          <t>Operating Cash Flow</t>
        </is>
      </c>
      <c r="C19" s="13" t="n">
        <v>-10254</v>
      </c>
      <c r="D19" s="14" t="n">
        <v>2083</v>
      </c>
      <c r="E19" s="15">
        <f>IF(ISERROR((C19-D19)/ABS(D19)),"",(C19-D19)/ABS(D19))</f>
        <v>-5.922707633221315</v>
      </c>
      <c r="F19" s="11" t="inlineStr">
        <is>
          <t>PDF p.78 (印刷頁 77)</t>
        </is>
      </c>
      <c r="G19" s="11" t="inlineStr">
        <is>
          <t>Cash generated from operations (10,254) 2,083</t>
        </is>
      </c>
    </row>
    <row r="20">
      <c r="A20" s="8" t="inlineStr">
        <is>
          <t>Cash Flow</t>
        </is>
      </c>
      <c r="B20" s="8" t="inlineStr">
        <is>
          <t>Investing Cash Flow</t>
        </is>
      </c>
      <c r="C20" s="13" t="n">
        <v>0</v>
      </c>
      <c r="D20" s="14" t="n">
        <v>-13</v>
      </c>
      <c r="E20" s="15">
        <f>IF(ISERROR((C20-D20)/ABS(D20)),"",(C20-D20)/ABS(D20))</f>
        <v>1.0</v>
      </c>
      <c r="F20" s="11" t="inlineStr">
        <is>
          <t>PDF p.79 (印刷頁 78)</t>
        </is>
      </c>
      <c r="G20" s="11" t="inlineStr">
        <is>
          <t>NET CASH USED IN INVESTING ACTIVITIES – (13)</t>
        </is>
      </c>
    </row>
    <row r="22">
      <c r="A22"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6">
        <f>IF(ISERROR(INDEX('Financials 財務數據'!$C$5:$C$20,MATCH("Gross Profit",'Financials 財務數據'!$B$5:$B$20,0))/INDEX('Financials 財務數據'!$C$5:$C$20,MATCH("Revenue",'Financials 財務數據'!$B$5:$B$20,0))),"n/a",INDEX('Financials 財務數據'!$C$5:$C$20,MATCH("Gross Profit",'Financials 財務數據'!$B$5:$B$20,0))/INDEX('Financials 財務數據'!$C$5:$C$20,MATCH("Revenue",'Financials 財務數據'!$B$5:$B$20,0)))</f>
        <v>0.41509433962264153</v>
      </c>
      <c r="C5" s="16">
        <f>IF(ISERROR(INDEX('Financials 財務數據'!$D$5:$D$20,MATCH("Gross Profit",'Financials 財務數據'!$B$5:$B$20,0))/INDEX('Financials 財務數據'!$D$5:$D$20,MATCH("Revenue",'Financials 財務數據'!$B$5:$B$20,0))),"n/a",INDEX('Financials 財務數據'!$D$5:$D$20,MATCH("Gross Profit",'Financials 財務數據'!$B$5:$B$20,0))/INDEX('Financials 財務數據'!$D$5:$D$20,MATCH("Revenue",'Financials 財務數據'!$B$5:$B$20,0)))</f>
        <v>0.4304041051956382</v>
      </c>
      <c r="D5" s="2" t="inlineStr">
        <is>
          <t>毛利 ÷ 收入</t>
        </is>
      </c>
    </row>
    <row r="6">
      <c r="A6" s="4" t="inlineStr">
        <is>
          <t>Net Margin 淨利率</t>
        </is>
      </c>
      <c r="B6" s="16">
        <f>IF(ISERROR(INDEX('Financials 財務數據'!$C$5:$C$20,MATCH("Profit for the Year",'Financials 財務數據'!$B$5:$B$20,0))/INDEX('Financials 財務數據'!$C$5:$C$20,MATCH("Revenue",'Financials 財務數據'!$B$5:$B$20,0))),"n/a",INDEX('Financials 財務數據'!$C$5:$C$20,MATCH("Profit for the Year",'Financials 財務數據'!$B$5:$B$20,0))/INDEX('Financials 財務數據'!$C$5:$C$20,MATCH("Revenue",'Financials 財務數據'!$B$5:$B$20,0)))</f>
        <v>-1.7321286207812916</v>
      </c>
      <c r="C6" s="16">
        <f>IF(ISERROR(INDEX('Financials 財務數據'!$D$5:$D$20,MATCH("Profit for the Year",'Financials 財務數據'!$B$5:$B$20,0))/INDEX('Financials 財務數據'!$D$5:$D$20,MATCH("Revenue",'Financials 財務數據'!$B$5:$B$20,0))),"n/a",INDEX('Financials 財務數據'!$D$5:$D$20,MATCH("Profit for the Year",'Financials 財務數據'!$B$5:$B$20,0))/INDEX('Financials 財務數據'!$D$5:$D$20,MATCH("Revenue",'Financials 財務數據'!$B$5:$B$20,0)))</f>
        <v>-0.5954671798161214</v>
      </c>
      <c r="D6" s="2" t="inlineStr">
        <is>
          <t>年內溢利 ÷ 收入</t>
        </is>
      </c>
    </row>
    <row r="7">
      <c r="A7" s="4" t="inlineStr">
        <is>
          <t>Current Ratio 流動比率</t>
        </is>
      </c>
      <c r="B7" s="17">
        <f>IF(ISERROR(INDEX('Financials 財務數據'!$C$5:$C$20,MATCH("Total Current Assets",'Financials 財務數據'!$B$5:$B$20,0))/INDEX('Financials 財務數據'!$C$5:$C$20,MATCH("Total Current Liabilities",'Financials 財務數據'!$B$5:$B$20,0))),"n/a",INDEX('Financials 財務數據'!$C$5:$C$20,MATCH("Total Current Assets",'Financials 財務數據'!$B$5:$B$20,0))/INDEX('Financials 財務數據'!$C$5:$C$20,MATCH("Total Current Liabilities",'Financials 財務數據'!$B$5:$B$20,0)))</f>
        <v>0.12109758492047909</v>
      </c>
      <c r="C7" s="17">
        <f>IF(ISERROR(INDEX('Financials 財務數據'!$D$5:$D$20,MATCH("Total Current Assets",'Financials 財務數據'!$B$5:$B$20,0))/INDEX('Financials 財務數據'!$D$5:$D$20,MATCH("Total Current Liabilities",'Financials 財務數據'!$B$5:$B$20,0))),"n/a",INDEX('Financials 財務數據'!$D$5:$D$20,MATCH("Total Current Assets",'Financials 財務數據'!$B$5:$B$20,0))/INDEX('Financials 財務數據'!$D$5:$D$20,MATCH("Total Current Liabilities",'Financials 財務數據'!$B$5:$B$20,0)))</f>
        <v>0.2442381910094037</v>
      </c>
      <c r="D7" s="2" t="inlineStr">
        <is>
          <t>流動資產 ÷ 流動負債</t>
        </is>
      </c>
    </row>
    <row r="8">
      <c r="A8" s="4" t="inlineStr">
        <is>
          <t>Debt / Equity 負債權益比</t>
        </is>
      </c>
      <c r="B8" s="17" t="str">
        <f>IF(ISERROR(INDEX('Financials 財務數據'!$C$5:$C$20,MATCH("Total Liabilities",'Financials 財務數據'!$B$5:$B$20,0))/INDEX('Financials 財務數據'!$C$5:$C$20,MATCH("Total Equity",'Financials 財務數據'!$B$5:$B$20,0))),"n/a",INDEX('Financials 財務數據'!$C$5:$C$20,MATCH("Total Liabilities",'Financials 財務數據'!$B$5:$B$20,0))/INDEX('Financials 財務數據'!$C$5:$C$20,MATCH("Total Equity",'Financials 財務數據'!$B$5:$B$20,0)))</f>
        <v>n/a</v>
      </c>
      <c r="C8" s="17" t="str">
        <f>IF(ISERROR(INDEX('Financials 財務數據'!$D$5:$D$20,MATCH("Total Liabilities",'Financials 財務數據'!$B$5:$B$20,0))/INDEX('Financials 財務數據'!$D$5:$D$20,MATCH("Total Equity",'Financials 財務數據'!$B$5:$B$20,0))),"n/a",INDEX('Financials 財務數據'!$D$5:$D$20,MATCH("Total Liabilities",'Financials 財務數據'!$B$5:$B$20,0))/INDEX('Financials 財務數據'!$D$5:$D$20,MATCH("Total Equity",'Financials 財務數據'!$B$5:$B$20,0)))</f>
        <v>n/a</v>
      </c>
      <c r="D8" s="2" t="inlineStr">
        <is>
          <t>總負債 ÷ 總權益</t>
        </is>
      </c>
    </row>
    <row r="9">
      <c r="A9" s="4" t="inlineStr">
        <is>
          <t>Goodwill / Total Assets</t>
        </is>
      </c>
      <c r="B9" s="16" t="str">
        <f>IF(ISERROR(INDEX('Financials 財務數據'!$C$5:$C$20,MATCH("Goodwill",'Financials 財務數據'!$B$5:$B$20,0))/INDEX('Financials 財務數據'!$C$5:$C$20,MATCH("Total Assets",'Financials 財務數據'!$B$5:$B$20,0))),"n/a",INDEX('Financials 財務數據'!$C$5:$C$20,MATCH("Goodwill",'Financials 財務數據'!$B$5:$B$20,0))/INDEX('Financials 財務數據'!$C$5:$C$20,MATCH("Total Assets",'Financials 財務數據'!$B$5:$B$20,0)))</f>
        <v>n/a</v>
      </c>
      <c r="C9" s="16" t="str">
        <f>IF(ISERROR(INDEX('Financials 財務數據'!$D$5:$D$20,MATCH("Goodwill",'Financials 財務數據'!$B$5:$B$20,0))/INDEX('Financials 財務數據'!$D$5:$D$20,MATCH("Total Assets",'Financials 財務數據'!$B$5:$B$20,0))),"n/a",INDEX('Financials 財務數據'!$D$5:$D$20,MATCH("Goodwill",'Financials 財務數據'!$B$5:$B$20,0))/INDEX('Financials 財務數據'!$D$5:$D$20,MATCH("Total Assets",'Financials 財務數據'!$B$5:$B$20,0)))</f>
        <v>n/a</v>
      </c>
      <c r="D9" s="2" t="inlineStr">
        <is>
          <t>商譽佔總資產比重 — 減值風險指標</t>
        </is>
      </c>
    </row>
    <row r="10">
      <c r="A10" s="4" t="inlineStr">
        <is>
          <t>Intangibles / Total Assets</t>
        </is>
      </c>
      <c r="B10" s="16" t="str">
        <f>IF(ISERROR(INDEX('Financials 財務數據'!$C$5:$C$20,MATCH("Intangible Assets",'Financials 財務數據'!$B$5:$B$20,0))/INDEX('Financials 財務數據'!$C$5:$C$20,MATCH("Total Assets",'Financials 財務數據'!$B$5:$B$20,0))),"n/a",INDEX('Financials 財務數據'!$C$5:$C$20,MATCH("Intangible Assets",'Financials 財務數據'!$B$5:$B$20,0))/INDEX('Financials 財務數據'!$C$5:$C$20,MATCH("Total Assets",'Financials 財務數據'!$B$5:$B$20,0)))</f>
        <v>n/a</v>
      </c>
      <c r="C10" s="16" t="str">
        <f>IF(ISERROR(INDEX('Financials 財務數據'!$D$5:$D$20,MATCH("Intangible Assets",'Financials 財務數據'!$B$5:$B$20,0))/INDEX('Financials 財務數據'!$D$5:$D$20,MATCH("Total Assets",'Financials 財務數據'!$B$5:$B$20,0))),"n/a",INDEX('Financials 財務數據'!$D$5:$D$20,MATCH("Intangible Assets",'Financials 財務數據'!$B$5:$B$20,0))/INDEX('Financials 財務數據'!$D$5:$D$20,MATCH("Total Assets",'Financials 財務數據'!$B$5:$B$20,0)))</f>
        <v>n/a</v>
      </c>
      <c r="D10" s="2" t="inlineStr">
        <is>
          <t>無形資產佔比</t>
        </is>
      </c>
    </row>
    <row r="11">
      <c r="A11" s="4" t="inlineStr">
        <is>
          <t>ROE 股本回報率</t>
        </is>
      </c>
      <c r="B11" s="16">
        <f>IF(ISERROR(INDEX('Financials 財務數據'!$C$5:$C$20,MATCH("Profit for the Year",'Financials 財務數據'!$B$5:$B$20,0))/INDEX('Financials 財務數據'!$C$5:$C$20,MATCH("Total Equity",'Financials 財務數據'!$B$5:$B$20,0))),"n/a",INDEX('Financials 財務數據'!$C$5:$C$20,MATCH("Profit for the Year",'Financials 財務數據'!$B$5:$B$20,0))/INDEX('Financials 財務數據'!$C$5:$C$20,MATCH("Total Equity",'Financials 財務數據'!$B$5:$B$20,0)))</f>
        <v>0.16585452741129023</v>
      </c>
      <c r="C11" s="16">
        <f>IF(ISERROR(INDEX('Financials 財務數據'!$D$5:$D$20,MATCH("Profit for the Year",'Financials 財務數據'!$B$5:$B$20,0))/INDEX('Financials 財務數據'!$D$5:$D$20,MATCH("Total Equity",'Financials 財務數據'!$B$5:$B$20,0))),"n/a",INDEX('Financials 財務數據'!$D$5:$D$20,MATCH("Profit for the Year",'Financials 財務數據'!$B$5:$B$20,0))/INDEX('Financials 財務數據'!$D$5:$D$20,MATCH("Total Equity",'Financials 財務數據'!$B$5:$B$20,0)))</f>
        <v>0.1704302062297289</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8" t="inlineStr">
        <is>
          <t>Item</t>
        </is>
      </c>
      <c r="B4" s="18" t="inlineStr">
        <is>
          <t>Prior</t>
        </is>
      </c>
      <c r="C4" s="18" t="inlineStr">
        <is>
          <t>Current</t>
        </is>
      </c>
    </row>
    <row r="5">
      <c r="A5" s="4" t="inlineStr">
        <is>
          <t>Revenue</t>
        </is>
      </c>
      <c r="B5" s="19" t="n">
        <v>37416</v>
      </c>
      <c r="C5" s="19" t="n">
        <v>15052</v>
      </c>
    </row>
    <row r="6">
      <c r="A6" s="4" t="inlineStr">
        <is>
          <t>Gross Profit</t>
        </is>
      </c>
      <c r="B6" s="19" t="n">
        <v>16104</v>
      </c>
      <c r="C6" s="19" t="n">
        <v>6248</v>
      </c>
    </row>
    <row r="7">
      <c r="A7" s="4" t="inlineStr">
        <is>
          <t>Profit Before Tax</t>
        </is>
      </c>
      <c r="B7" s="19" t="n">
        <v>-22280</v>
      </c>
      <c r="C7" s="19" t="n">
        <v>-26072</v>
      </c>
    </row>
    <row r="8">
      <c r="A8" s="4" t="inlineStr">
        <is>
          <t>Profit for the Year</t>
        </is>
      </c>
      <c r="B8" s="19" t="n">
        <v>-22280</v>
      </c>
      <c r="C8" s="19" t="n">
        <v>-26072</v>
      </c>
    </row>
    <row r="9">
      <c r="A9" s="4" t="inlineStr">
        <is>
          <t>Total Equity</t>
        </is>
      </c>
      <c r="B9" s="19" t="n">
        <v>-130728</v>
      </c>
      <c r="C9" s="19" t="n">
        <v>-157198</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70"/>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20" t="inlineStr">
        <is>
          <t>high</t>
        </is>
      </c>
      <c r="D4" s="11" t="inlineStr">
        <is>
          <t>level 3</t>
        </is>
      </c>
      <c r="E4" s="11" t="inlineStr">
        <is>
          <t>PDF p.121 (印刷頁 120)</t>
        </is>
      </c>
      <c r="F4" s="11" t="inlineStr">
        <is>
          <t>market development and expected production capacity of Weihai Qingying. The FVLCOD of investment in Weihai Qingying is classified as level 3 fair value measurement. There was no change of fair value hierarchy during the years ended 31 March 2026 and 2025. As a result of the impairment assessment, an impairment loss of HK$150,000 had been recognised in respect of the investment in Weihai Qingying during the year ended 31 March 2026 (2025: HK$2,996,000) due to a delay in the management’s production plan and a drop in projected re</t>
        </is>
      </c>
    </row>
    <row r="5">
      <c r="A5" s="8" t="inlineStr">
        <is>
          <t>Fair Value Measurement</t>
        </is>
      </c>
      <c r="B5" s="8" t="inlineStr">
        <is>
          <t>公允價值計量</t>
        </is>
      </c>
      <c r="C5" s="20" t="inlineStr">
        <is>
          <t>high</t>
        </is>
      </c>
      <c r="D5" s="11" t="inlineStr">
        <is>
          <t>independent valuer</t>
        </is>
      </c>
      <c r="E5" s="11" t="inlineStr">
        <is>
          <t>PDF p.122 (印刷頁 121)</t>
        </is>
      </c>
      <c r="F5" s="11" t="inlineStr">
        <is>
          <t>7% was reasonable and appropriate considering the management’s close monitoring of any under performing cake shops. Discount rate An independent valuer was engaged for the estimation of the appropriate discount rate. The pre-tax discount rates of 11.56% for the 2025 Forecast were adopted with reference to the weighted-average cost of capital arrived at by the independent valuer. Based on the result of the assessment, the management of the Company determined that the recoverable amount of the ITHK CGU is higher than the carrying</t>
        </is>
      </c>
    </row>
    <row r="6">
      <c r="A6" s="8" t="inlineStr">
        <is>
          <t>Impairment Testing</t>
        </is>
      </c>
      <c r="B6" s="8" t="inlineStr">
        <is>
          <t>減值測試</t>
        </is>
      </c>
      <c r="C6" s="20" t="inlineStr">
        <is>
          <t>high</t>
        </is>
      </c>
      <c r="D6" s="11" t="inlineStr">
        <is>
          <t>impairment loss</t>
        </is>
      </c>
      <c r="E6" s="11" t="inlineStr">
        <is>
          <t>PDF p.46 (印刷頁 45)</t>
        </is>
      </c>
      <c r="F6" s="11" t="inlineStr">
        <is>
          <t>Management Discussion and Analysis FINANCIAL REVIEW (cont’d) Impairment of intangible assets An impairment loss of approximately HK$4.0 million (2025: HK$nil) was recognised for the cake shops that subsequently ceased operations and no future economic benefits are expected to be generated from these assets. Finance costs Finance cost of the Group for the Reporting Period increased by 21.6% to approximately HK$6.2 million (2025: approximately HK$5.1 million). This increase was primarily attri</t>
        </is>
      </c>
    </row>
    <row r="7">
      <c r="A7" s="8" t="inlineStr">
        <is>
          <t>Impairment Testing</t>
        </is>
      </c>
      <c r="B7" s="8" t="inlineStr">
        <is>
          <t>減值測試</t>
        </is>
      </c>
      <c r="C7" s="20" t="inlineStr">
        <is>
          <t>high</t>
        </is>
      </c>
      <c r="D7" s="11" t="inlineStr">
        <is>
          <t>recoverable amount</t>
        </is>
      </c>
      <c r="E7" s="11" t="inlineStr">
        <is>
          <t>PDF p.83 (印刷頁 82)</t>
        </is>
      </c>
      <c r="F7" s="11" t="inlineStr">
        <is>
          <t>up be unable to continue to operate as a going concern, adjustments would have to be made to write down the value of assets to their recoverable amounts, to provide for further liabilities which might arise and to reclassify non-current assets and liabilities as current assets and liabilities respectively. The effects of these adjustments have not been reflected in the consolidated financial statements. The Directors have, at the time of approving the consolidated financial statements, a reasonable expectation that the Group ha</t>
        </is>
      </c>
    </row>
    <row r="8">
      <c r="A8" s="8" t="inlineStr">
        <is>
          <t>Impairment Testing</t>
        </is>
      </c>
      <c r="B8" s="8" t="inlineStr">
        <is>
          <t>減值測試</t>
        </is>
      </c>
      <c r="C8" s="20" t="inlineStr">
        <is>
          <t>high</t>
        </is>
      </c>
      <c r="D8" s="11" t="inlineStr">
        <is>
          <t>impairment loss</t>
        </is>
      </c>
      <c r="E8" s="11" t="inlineStr">
        <is>
          <t>PDF p.85 (印刷頁 84)</t>
        </is>
      </c>
      <c r="F8" s="11" t="inlineStr">
        <is>
          <t>ses of the underlying plant and equipment, other than construction in progress, are stated at cost less accumulated depreciation and impairment losses. The cost of an asset comprises its purchase price and any directly attributable costs of bringing the asset to its present working condition and location for its intended use. Expenditure incurred after the plant and equipment have been put into operation, such as repairs and maintenance, are charged to profit or loss in the year in which they are incurred. In situations where i</t>
        </is>
      </c>
    </row>
    <row r="9">
      <c r="A9" s="8" t="inlineStr">
        <is>
          <t>Impairment Testing</t>
        </is>
      </c>
      <c r="B9" s="8" t="inlineStr">
        <is>
          <t>減值測試</t>
        </is>
      </c>
      <c r="C9" s="20" t="inlineStr">
        <is>
          <t>high</t>
        </is>
      </c>
      <c r="D9" s="11" t="inlineStr">
        <is>
          <t>impairment loss</t>
        </is>
      </c>
      <c r="E9" s="11" t="inlineStr">
        <is>
          <t>PDF p.86 (印刷頁 85)</t>
        </is>
      </c>
      <c r="F9" s="11" t="inlineStr">
        <is>
          <t>ment or disposal. (e) Intangible assets (other than goodwill) Intangible assets are stated at cost less accumulated amortization and impairment losses. Intangible assets with finite useful lives that are acquired separately are carried at cost less accumulated amortization and any accumulated impairment losses. Amortization for intangible assets with finite useful life is recognized on a straight-line basis over their estimated useful lives. The estimated useful life and amortization method are reviewed at the end of each repor</t>
        </is>
      </c>
    </row>
    <row r="10">
      <c r="A10" s="8" t="inlineStr">
        <is>
          <t>Impairment Testing</t>
        </is>
      </c>
      <c r="B10" s="8" t="inlineStr">
        <is>
          <t>減值測試</t>
        </is>
      </c>
      <c r="C10" s="20" t="inlineStr">
        <is>
          <t>high</t>
        </is>
      </c>
      <c r="D10" s="11" t="inlineStr">
        <is>
          <t>impairment loss</t>
        </is>
      </c>
      <c r="E10" s="11" t="inlineStr">
        <is>
          <t>PDF p.88 (印刷頁 87)</t>
        </is>
      </c>
      <c r="F10" s="11" t="inlineStr">
        <is>
          <t>n required by the terms and conditions of the lease. Right-of-use assets are measured at cost, less any accumulated depreciation and impairment losses, and adjusted for any remeasurement of lease liabilities. Right-of-use assets in which the Group is reasonably certain to obtain ownership of the underlying leased assets at the end of the lease term are depreciated from commencement date to the end of the useful life. Otherwise, right-of-use assets are depreciated on a straight-line basis over the shorter of its estimated useful</t>
        </is>
      </c>
    </row>
    <row r="11">
      <c r="A11" s="8" t="inlineStr">
        <is>
          <t>Impairment Testing</t>
        </is>
      </c>
      <c r="B11" s="8" t="inlineStr">
        <is>
          <t>減值測試</t>
        </is>
      </c>
      <c r="C11" s="20" t="inlineStr">
        <is>
          <t>high</t>
        </is>
      </c>
      <c r="D11" s="11" t="inlineStr">
        <is>
          <t>impairment loss</t>
        </is>
      </c>
      <c r="E11" s="11" t="inlineStr">
        <is>
          <t>PDF p.90 (印刷頁 89)</t>
        </is>
      </c>
      <c r="F11" s="11" t="inlineStr">
        <is>
          <t>ts in subsidiaries Interests in subsidiaries are stated in the Company’s statement of financial position at cost less any identified impairment loss. Income from subsidiaries is recognized in the Company’s financial statements on the basis of dividends declared by the subsidiaries. (h) Investments in associates An associate is an entity over which the Group has significant influence. Significant influence is the power to participate in the financial and operating policy decisions of the investee but is not control or joint cont</t>
        </is>
      </c>
    </row>
    <row r="12">
      <c r="A12" s="8" t="inlineStr">
        <is>
          <t>Impairment Testing</t>
        </is>
      </c>
      <c r="B12" s="8" t="inlineStr">
        <is>
          <t>減值測試</t>
        </is>
      </c>
      <c r="C12" s="20" t="inlineStr">
        <is>
          <t>high</t>
        </is>
      </c>
      <c r="D12" s="11" t="inlineStr">
        <is>
          <t>impairment loss</t>
        </is>
      </c>
      <c r="E12" s="11" t="inlineStr">
        <is>
          <t>PDF p.96 (印刷頁 95)</t>
        </is>
      </c>
      <c r="F12" s="11" t="inlineStr">
        <is>
          <t>assets (other than goodwill) and right-of-use assets to determine whether there is any indication that those assets have suffered an impairment loss. If any such indication exists, the recoverable amount of the relevant asset is estimated in order to determine the extent of the impairment loss (if any). The recoverable amount of plant and equipment, other intangible assets and right-of-use assets are estimated individually. When it is not possible to estimate the recoverable amount individually, the Group estimates the recovera</t>
        </is>
      </c>
    </row>
    <row r="13">
      <c r="A13" s="8" t="inlineStr">
        <is>
          <t>Impairment Testing</t>
        </is>
      </c>
      <c r="B13" s="8" t="inlineStr">
        <is>
          <t>減值測試</t>
        </is>
      </c>
      <c r="C13" s="20" t="inlineStr">
        <is>
          <t>high</t>
        </is>
      </c>
      <c r="D13" s="11" t="inlineStr">
        <is>
          <t>recoverable amount</t>
        </is>
      </c>
      <c r="E13" s="11" t="inlineStr">
        <is>
          <t>PDF p.103 (印刷頁 102)</t>
        </is>
      </c>
      <c r="F13" s="11" t="inlineStr">
        <is>
          <t>t has occurred or any indicators that may affect the asset value; (2) whether the carrying value of an asset can be supported by the recoverable amount, in the case of value in use, the net present value of future cash flows which are estimated based upon the continued use of the asset; and (3) the appropriate key assumptions to be applied in estimating the recoverable amounts including growth rates in turnover, gross margins, operating cost to turnover ratio and an appropriate discount rate. Changing the assumptions and estima</t>
        </is>
      </c>
    </row>
    <row r="14">
      <c r="A14" s="8" t="inlineStr">
        <is>
          <t>Impairment Testing</t>
        </is>
      </c>
      <c r="B14" s="8" t="inlineStr">
        <is>
          <t>減值測試</t>
        </is>
      </c>
      <c r="C14" s="20" t="inlineStr">
        <is>
          <t>high</t>
        </is>
      </c>
      <c r="D14" s="11" t="inlineStr">
        <is>
          <t>impairment loss</t>
        </is>
      </c>
      <c r="E14" s="11" t="inlineStr">
        <is>
          <t>PDF p.119 (印刷頁 118)</t>
        </is>
      </c>
      <c r="F14" s="11" t="inlineStr">
        <is>
          <t>March 2026 15. INTEREST IN AN ASSOCIATE 2026 2025 HK$’000 HK$’000 Unlisted investment: Share of net assets and goodwill 6,985 7,345 Impairment loss (6,034) (5,884) 951 1,461 The following table shows information of an associate that is material to the Group. This associate is accounted for in the consolidated financial statements using the equity method. The summarised financial information presented is based on the HKFRSs financial statements of the associate: 威海清影精 Name of associate : Weihai Qingying Precision Technology Com</t>
        </is>
      </c>
    </row>
    <row r="15">
      <c r="A15" s="8" t="inlineStr">
        <is>
          <t>Impairment Testing</t>
        </is>
      </c>
      <c r="B15" s="8" t="inlineStr">
        <is>
          <t>減值測試</t>
        </is>
      </c>
      <c r="C15" s="20" t="inlineStr">
        <is>
          <t>high</t>
        </is>
      </c>
      <c r="D15" s="11" t="inlineStr">
        <is>
          <t>impairment loss</t>
        </is>
      </c>
      <c r="E15" s="11" t="inlineStr">
        <is>
          <t>PDF p.120 (印刷頁 119)</t>
        </is>
      </c>
      <c r="F15" s="11" t="inlineStr">
        <is>
          <t>,539 Current liabilities (56) (11) Net assets 20,483 22,285 Group’s share of net assets 4,097 4,457 Goodwill 2,888 2,888 6,985 7,345 Impairment loss (Note) (6,034) (5,884) Carrying amount of Group’s interests 951 1,461 1.4.2025 – 1.4.2024 – 31.3.2026 31.3.2025 Revenue 1 384 Loss before tax (1,801) (1,840) Other comprehensive income – – Total comprehensive income – – Dividends received from associate – – Note: In view of the delay in mass production and the loss incurred by Weihai Qingying for the year ended 31 March 2026, the D</t>
        </is>
      </c>
    </row>
    <row r="16">
      <c r="A16" s="8" t="inlineStr">
        <is>
          <t>Impairment Testing</t>
        </is>
      </c>
      <c r="B16" s="8" t="inlineStr">
        <is>
          <t>減值測試</t>
        </is>
      </c>
      <c r="C16" s="20" t="inlineStr">
        <is>
          <t>high</t>
        </is>
      </c>
      <c r="D16" s="11" t="inlineStr">
        <is>
          <t>impairment loss</t>
        </is>
      </c>
      <c r="E16" s="11" t="inlineStr">
        <is>
          <t>PDF p.121 (印刷頁 120)</t>
        </is>
      </c>
      <c r="F16" s="11" t="inlineStr">
        <is>
          <t>re was no change of fair value hierarchy during the years ended 31 March 2026 and 2025. As a result of the impairment assessment, an impairment loss of HK$150,000 had been recognised in respect of the investment in Weihai Qingying during the year ended 31 March 2026 (2025: HK$2,996,000) due to a delay in the management’s production plan and a drop in projected revenue and net profit margin. Apart from the considerations described above in determining the FVLCOD of investment in Weihai Qingying, the management is not currently a</t>
        </is>
      </c>
    </row>
    <row r="17">
      <c r="A17" s="8" t="inlineStr">
        <is>
          <t>Impairment Testing</t>
        </is>
      </c>
      <c r="B17" s="8" t="inlineStr">
        <is>
          <t>減值測試</t>
        </is>
      </c>
      <c r="C17" s="20" t="inlineStr">
        <is>
          <t>high</t>
        </is>
      </c>
      <c r="D17" s="11" t="inlineStr">
        <is>
          <t>impairment loss</t>
        </is>
      </c>
      <c r="E17" s="11" t="inlineStr">
        <is>
          <t>PDF p.122 (印刷頁 121)</t>
        </is>
      </c>
      <c r="F17" s="11" t="inlineStr">
        <is>
          <t>ements For the year ended 31 March 2026 16. IMPAIRMENT ASSESSMENT (cont’d) The key assumptions used in determining the amount of the impairment loss and those adopted in the impairment review for the years ended 31 March 2025 were as follows:– Impairment review for the year ended 31 March 2025 Key assumptions (the “2025 Forecast”) Average annual growth rates in turnover for first five-year forecast Cake shops operation: 2.5% Long-term growth rates in turnover 0% Budgeted gross margin 43.15% Budgeted operating costs to turnover</t>
        </is>
      </c>
    </row>
    <row r="18">
      <c r="A18" s="8" t="inlineStr">
        <is>
          <t>Intangible Assets &amp; Goodwill</t>
        </is>
      </c>
      <c r="B18" s="8" t="inlineStr">
        <is>
          <t>無形資產及商譽</t>
        </is>
      </c>
      <c r="C18" s="20" t="inlineStr">
        <is>
          <t>high</t>
        </is>
      </c>
      <c r="D18" s="11" t="inlineStr">
        <is>
          <t>intangible asset</t>
        </is>
      </c>
      <c r="E18" s="11" t="inlineStr">
        <is>
          <t>PDF p.43 (印刷頁 42)</t>
        </is>
      </c>
      <c r="F18" s="11" t="inlineStr">
        <is>
          <t>profit as a result of the decrease in revenue, expected credit losses of debtors, impairment plant and equipment, and impairment of intangible assets. The above adverse effects were offset by an increase of other income resulting from a write-off of other payables and a decrease in operating expenses resulting from effective cost control measures, and improved operational efficiency was also a contributing factor during the Reporting Period. Further detailed explanations can be found in the financial review section of this ann</t>
        </is>
      </c>
    </row>
    <row r="19">
      <c r="A19" s="8" t="inlineStr">
        <is>
          <t>Intangible Assets &amp; Goodwill</t>
        </is>
      </c>
      <c r="B19" s="8" t="inlineStr">
        <is>
          <t>無形資產及商譽</t>
        </is>
      </c>
      <c r="C19" s="20" t="inlineStr">
        <is>
          <t>high</t>
        </is>
      </c>
      <c r="D19" s="11" t="inlineStr">
        <is>
          <t>intangible asset</t>
        </is>
      </c>
      <c r="E19" s="11" t="inlineStr">
        <is>
          <t>PDF p.46 (印刷頁 45)</t>
        </is>
      </c>
      <c r="F19" s="11" t="inlineStr">
        <is>
          <t>Management Discussion and Analysis FINANCIAL REVIEW (cont’d) Impairment of intangible assets An impairment loss of approximately HK$4.0 million (2025: HK$nil) was recognised for the cake shops that subsequently ceased operations and no future economic benefits are expected to be generated from these assets. Finance costs Finance cost of the Group for the Reporting Period increased by 21.6% to approximately HK$6.2 million (2025: approximately HK$5.1 million). This increas</t>
        </is>
      </c>
    </row>
    <row r="20">
      <c r="A20" s="8" t="inlineStr">
        <is>
          <t>Intangible Assets &amp; Goodwill</t>
        </is>
      </c>
      <c r="B20" s="8" t="inlineStr">
        <is>
          <t>無形資產及商譽</t>
        </is>
      </c>
      <c r="C20" s="20" t="inlineStr">
        <is>
          <t>high</t>
        </is>
      </c>
      <c r="D20" s="11" t="inlineStr">
        <is>
          <t>intangible asset</t>
        </is>
      </c>
      <c r="E20" s="11" t="inlineStr">
        <is>
          <t>PDF p.47 (印刷頁 46)</t>
        </is>
      </c>
      <c r="F20" s="11" t="inlineStr">
        <is>
          <t>Operating expenses (cont’d) A breakdown of the operating expenses are set out below: 2026 2025 HK$'000 HK$’000 Amortization of other intangible assets 674 406 Auditor’s remuneration 689 699 Building management fee and rates 274 523 Cleaning 42 218 Depreciation of plant and equipment 160 596 Depreciation of right-of-use assets 2,975 7,200 Directors’ remuneration 914 1,028 Franchise and royalties 349 717 Insurance 46 358 Legal and professional fee 1,436 2,364 Licenses 123 119 Loss on foreign exchange 1,699 80 Loss on written off</t>
        </is>
      </c>
    </row>
    <row r="21">
      <c r="A21" s="8" t="inlineStr">
        <is>
          <t>Intangible Assets &amp; Goodwill</t>
        </is>
      </c>
      <c r="B21" s="8" t="inlineStr">
        <is>
          <t>無形資產及商譽</t>
        </is>
      </c>
      <c r="C21" s="20" t="inlineStr">
        <is>
          <t>high</t>
        </is>
      </c>
      <c r="D21" s="11" t="inlineStr">
        <is>
          <t>intangible asset</t>
        </is>
      </c>
      <c r="E21" s="11" t="inlineStr">
        <is>
          <t>PDF p.73 (印刷頁 72)</t>
        </is>
      </c>
      <c r="F21" s="11" t="inlineStr">
        <is>
          <t>n associate (360) (368) Impairment of interest in an associate (150) (2,996) Impairment of plant and equipment (213) – Impairment of intangible assets (3,997) – Impairment of trade debtors (558) – Operating expenses (22,664) (30,346) Operating loss (19,905) (17,155) Finance costs 6(a) (6,167) (5,125) Loss before income tax 6 (26,072) (22,280) Income tax expenses 8(a) – – Loss for the year (26,072) (22,280) Loss per share (HK cents) 10 – Basic (4.70) (4.22) – Diluted (4.70) (4.22) The notes on pages 79 to 150 form part of these</t>
        </is>
      </c>
    </row>
    <row r="22">
      <c r="A22" s="8" t="inlineStr">
        <is>
          <t>Intangible Assets &amp; Goodwill</t>
        </is>
      </c>
      <c r="B22" s="8" t="inlineStr">
        <is>
          <t>無形資產及商譽</t>
        </is>
      </c>
      <c r="C22" s="20" t="inlineStr">
        <is>
          <t>high</t>
        </is>
      </c>
      <c r="D22" s="11" t="inlineStr">
        <is>
          <t>intangible asset</t>
        </is>
      </c>
      <c r="E22" s="11" t="inlineStr">
        <is>
          <t>PDF p.75 (印刷頁 74)</t>
        </is>
      </c>
      <c r="F22" s="11" t="inlineStr">
        <is>
          <t>at 31 March 2026 2026 2025 Notes HK$’000 HK$’000 NON-CURRENT ASSETS Plant and equipment 11 75 1,584 Right-of-use assets 13 590 2,619 Intangible assets 14 – 4,671 Interest in an associate 15 951 1,461 1,616 10,335 CURRENT ASSETS Inventories 17 17 65 Debtors, deposits and prepayments 18 8,756 11,484 Cash and cash equivalents 19 8,496 24,397 17,269 35,946 DEDUCT:– CURRENT LIABILITIES Creditors and accruals 20 37,063 37,379 Other loans 21 104,495 106,321 Contract liabilities 22 214 536 Lease liabilities 23 832 2,940 142,604 147,176</t>
        </is>
      </c>
    </row>
    <row r="23">
      <c r="A23" s="8" t="inlineStr">
        <is>
          <t>Intangible Assets &amp; Goodwill</t>
        </is>
      </c>
      <c r="B23" s="8" t="inlineStr">
        <is>
          <t>無形資產及商譽</t>
        </is>
      </c>
      <c r="C23" s="20" t="inlineStr">
        <is>
          <t>high</t>
        </is>
      </c>
      <c r="D23" s="11" t="inlineStr">
        <is>
          <t>intangible asset</t>
        </is>
      </c>
      <c r="E23" s="11" t="inlineStr">
        <is>
          <t>PDF p.78 (印刷頁 77)</t>
        </is>
      </c>
      <c r="F23" s="11" t="inlineStr">
        <is>
          <t>irment of interest in an associate 150 2,996 Impairment of trade debtors 558 – Impairment of plant and equipment 213 – Impairment of intangible assets 3,997 – Interest income (21) (407) Interest expenses on other loans 1,174 1,174 Interest expense on convertible bonds 4,834 3,067 Interest expense on lease liabilities 109 316 Imputed interest expenses on reinstatement provision – 8 Depreciation of plant and equipment 160 596 Depreciation of right-of-use assets 2,975 7,200 Amortization of intangible assets 674 406 Gain on termina</t>
        </is>
      </c>
    </row>
    <row r="24">
      <c r="A24" s="8" t="inlineStr">
        <is>
          <t>Intangible Assets &amp; Goodwill</t>
        </is>
      </c>
      <c r="B24" s="8" t="inlineStr">
        <is>
          <t>無形資產及商譽</t>
        </is>
      </c>
      <c r="C24" s="20" t="inlineStr">
        <is>
          <t>high</t>
        </is>
      </c>
      <c r="D24" s="11" t="inlineStr">
        <is>
          <t>goodwill</t>
        </is>
      </c>
      <c r="E24" s="11" t="inlineStr">
        <is>
          <t>PDF p.84 (印刷頁 83)</t>
        </is>
      </c>
      <c r="F24" s="11" t="inlineStr">
        <is>
          <t>nd noncontrolling interests within consolidated equity to reflect the change in relative interests, but no adjustments are made to goodwill and no gain or loss is recognized. When the Group loses control of a subsidiary, it is accounted for as a disposal of the entire interest in that subsidiary, with a resulting gain or loss being recognized in profit or loss. Any interest retained in that former subsidiary at the date when control is lost is recognized at fair value and this amount is regarded as the fair value on initial r</t>
        </is>
      </c>
    </row>
    <row r="25">
      <c r="A25" s="8" t="inlineStr">
        <is>
          <t>Intangible Assets &amp; Goodwill</t>
        </is>
      </c>
      <c r="B25" s="8" t="inlineStr">
        <is>
          <t>無形資產及商譽</t>
        </is>
      </c>
      <c r="C25" s="20" t="inlineStr">
        <is>
          <t>high</t>
        </is>
      </c>
      <c r="D25" s="11" t="inlineStr">
        <is>
          <t>intangible asset</t>
        </is>
      </c>
      <c r="E25" s="11" t="inlineStr">
        <is>
          <t>PDF p.86 (印刷頁 85)</t>
        </is>
      </c>
      <c r="F25" s="11" t="inlineStr">
        <is>
          <t>isposal proceeds and the carrying amount of the asset and is recognized in profit or loss on the date of retirement or disposal. (e) Intangible assets (other than goodwill) Intangible assets are stated at cost less accumulated amortization and impairment losses. Intangible assets with finite useful lives that are acquired separately are carried at cost less accumulated amortization and any accumulated impairment losses. Amortization for intangible assets with finite useful life is recognized on a straight-line basis over their</t>
        </is>
      </c>
    </row>
    <row r="26">
      <c r="A26" s="8" t="inlineStr">
        <is>
          <t>Intangible Assets &amp; Goodwill</t>
        </is>
      </c>
      <c r="B26" s="8" t="inlineStr">
        <is>
          <t>無形資產及商譽</t>
        </is>
      </c>
      <c r="C26" s="20" t="inlineStr">
        <is>
          <t>high</t>
        </is>
      </c>
      <c r="D26" s="11" t="inlineStr">
        <is>
          <t>intangible asset</t>
        </is>
      </c>
      <c r="E26" s="11" t="inlineStr">
        <is>
          <t>PDF p.87 (印刷頁 86)</t>
        </is>
      </c>
      <c r="F26" s="11" t="inlineStr">
        <is>
          <t>tes to the Consolidated Financial Statements For the year ended 31 March 2026 3. MATERIAL ACCOUNTING POLICY INFORMATION (cont’d) (e) Intangible assets (other than goodwill) (cont’d) Amortization is calculated to write off the costs of intangible assets over their estimated useful lives on a straight line basis as follows:– Trademark acquired 5 to 20 years Franchise rights acquired 5 to 20 years (f) Leases Definition of a lease A contract is, or contains, a lease if the contract conveys the right to control the use of an identif</t>
        </is>
      </c>
    </row>
    <row r="27">
      <c r="A27" s="8" t="inlineStr">
        <is>
          <t>Intangible Assets &amp; Goodwill</t>
        </is>
      </c>
      <c r="B27" s="8" t="inlineStr">
        <is>
          <t>無形資產及商譽</t>
        </is>
      </c>
      <c r="C27" s="20" t="inlineStr">
        <is>
          <t>high</t>
        </is>
      </c>
      <c r="D27" s="11" t="inlineStr">
        <is>
          <t>useful life</t>
        </is>
      </c>
      <c r="E27" s="11" t="inlineStr">
        <is>
          <t>PDF p.88 (印刷頁 87)</t>
        </is>
      </c>
      <c r="F27" s="11" t="inlineStr">
        <is>
          <t>tain ownership of the underlying leased assets at the end of the lease term are depreciated from commencement date to the end of the useful life. Otherwise, right-of-use assets are depreciated on a straight-line basis over the shorter of its estimated useful life and the lease term. Refundable rental deposits Refundable rental deposits paid are accounted under HKFRS 9 “Financial Instruments” and initially measured at fair value. Adjustments to fair value at initial recognition are considered as additional lease payments and inc</t>
        </is>
      </c>
    </row>
    <row r="28">
      <c r="A28" s="8" t="inlineStr">
        <is>
          <t>Intangible Assets &amp; Goodwill</t>
        </is>
      </c>
      <c r="B28" s="8" t="inlineStr">
        <is>
          <t>無形資產及商譽</t>
        </is>
      </c>
      <c r="C28" s="20" t="inlineStr">
        <is>
          <t>high</t>
        </is>
      </c>
      <c r="D28" s="11" t="inlineStr">
        <is>
          <t>goodwill</t>
        </is>
      </c>
      <c r="E28" s="11" t="inlineStr">
        <is>
          <t>PDF p.90 (印刷頁 89)</t>
        </is>
      </c>
      <c r="F28" s="11" t="inlineStr">
        <is>
          <t>investment over the Group’s share of the net fair value of the identifiable assets and liabilities of the investee is recognised as goodwill, which is included within the carrying amount of the investment. Any excess of the Group’s share of the net fair value of the identifiable assets and liabilities over the cost of the investment, after reassessment, is recognised immediately in profit or loss in the period in which the investment is acquired. The Group assesses whether there is an objective evidence that the interest in an</t>
        </is>
      </c>
    </row>
    <row r="29">
      <c r="A29" s="8" t="inlineStr">
        <is>
          <t>Intangible Assets &amp; Goodwill</t>
        </is>
      </c>
      <c r="B29" s="8" t="inlineStr">
        <is>
          <t>無形資產及商譽</t>
        </is>
      </c>
      <c r="C29" s="20" t="inlineStr">
        <is>
          <t>high</t>
        </is>
      </c>
      <c r="D29" s="11" t="inlineStr">
        <is>
          <t>intangible asset</t>
        </is>
      </c>
      <c r="E29" s="11" t="inlineStr">
        <is>
          <t>PDF p.96 (印刷頁 95)</t>
        </is>
      </c>
      <c r="F29" s="11" t="inlineStr">
        <is>
          <t>nts For the year ended 31 March 2026 3. MATERIAL ACCOUNTING POLICY INFORMATION (cont’d) (j) Impairment of plant and equipment, other intangible assets (other than goodwill) and right-of-use assets At the end of the reporting period, the Group reviews the carrying amounts of its plant and equipment, other intangible assets (other than goodwill) and right-of-use assets to determine whether there is any indication that those assets have suffered an impairment loss. If any such indication exists, the recoverable amount of the relev</t>
        </is>
      </c>
    </row>
    <row r="30">
      <c r="A30" s="8" t="inlineStr">
        <is>
          <t>Intangible Assets &amp; Goodwill</t>
        </is>
      </c>
      <c r="B30" s="8" t="inlineStr">
        <is>
          <t>無形資產及商譽</t>
        </is>
      </c>
      <c r="C30" s="20" t="inlineStr">
        <is>
          <t>high</t>
        </is>
      </c>
      <c r="D30" s="11" t="inlineStr">
        <is>
          <t>goodwill</t>
        </is>
      </c>
      <c r="E30" s="11" t="inlineStr">
        <is>
          <t>PDF p.100 (印刷頁 99)</t>
        </is>
      </c>
      <c r="F30" s="11" t="inlineStr">
        <is>
          <t>profit. In addition, deferred tax liabilities are not recognized if the temporary difference arises from the initial recognition of goodwill. Deferred tax liabilities are recognized for taxable temporary differences associated with investments in subsidiaries, except where the Group is able to control the reversal of the temporary difference and it is probable that the temporary difference will not reverse in the foreseeable future. Deferred tax assets arising from deductible temporary differences associated are only recognize</t>
        </is>
      </c>
    </row>
    <row r="31">
      <c r="A31" s="8" t="inlineStr">
        <is>
          <t>Intangible Assets &amp; Goodwill</t>
        </is>
      </c>
      <c r="B31" s="8" t="inlineStr">
        <is>
          <t>無形資產及商譽</t>
        </is>
      </c>
      <c r="C31" s="20" t="inlineStr">
        <is>
          <t>high</t>
        </is>
      </c>
      <c r="D31" s="11" t="inlineStr">
        <is>
          <t>intangible asset</t>
        </is>
      </c>
      <c r="E31" s="11" t="inlineStr">
        <is>
          <t>PDF p.102 (印刷頁 101)</t>
        </is>
      </c>
      <c r="F31" s="11" t="inlineStr">
        <is>
          <t>ect the amounts recognized in the consolidated financial statements are disclosed below:– (i) Estimated useful lives of tangible and intangible assets with definite useful lives The Group estimates the useful lives of tangible and intangible assets based on the periods over which the assets are expected to be available for use. The Group reviews annually their estimated useful lives, based on factors that include asset utilization and anticipated use of the assets tempered by related industry benchmark information. It is possib</t>
        </is>
      </c>
    </row>
    <row r="32">
      <c r="A32" s="8" t="inlineStr">
        <is>
          <t>Intangible Assets &amp; Goodwill</t>
        </is>
      </c>
      <c r="B32" s="8" t="inlineStr">
        <is>
          <t>無形資產及商譽</t>
        </is>
      </c>
      <c r="C32" s="20" t="inlineStr">
        <is>
          <t>high</t>
        </is>
      </c>
      <c r="D32" s="11" t="inlineStr">
        <is>
          <t>intangible asset</t>
        </is>
      </c>
      <c r="E32" s="11" t="inlineStr">
        <is>
          <t>PDF p.103 (印刷頁 102)</t>
        </is>
      </c>
      <c r="F32" s="11" t="inlineStr">
        <is>
          <t>l accounting estimate and judgements (cont’d) Key sources of estimation uncertainty (cont’d) (ii) Impairment of plant and equipment, intangible assets and right-of-use assets Plant and equipment, intangible assets (other than goodwill) and right-of-use assets are stated at costs less accumulated depreciation and impairment, if any. In determining whether an asset is impaired, the Group has to exercise judgment and make estimation, particularly in assessing: (1) whether an event has occurred or any indicators that may affect the</t>
        </is>
      </c>
    </row>
    <row r="33">
      <c r="A33" s="8" t="inlineStr">
        <is>
          <t>Intangible Assets &amp; Goodwill</t>
        </is>
      </c>
      <c r="B33" s="8" t="inlineStr">
        <is>
          <t>無形資產及商譽</t>
        </is>
      </c>
      <c r="C33" s="20" t="inlineStr">
        <is>
          <t>high</t>
        </is>
      </c>
      <c r="D33" s="11" t="inlineStr">
        <is>
          <t>intangible asset</t>
        </is>
      </c>
      <c r="E33" s="11" t="inlineStr">
        <is>
          <t>PDF p.107 (印刷頁 106)</t>
        </is>
      </c>
      <c r="F33" s="11" t="inlineStr">
        <is>
          <t>ion – 8 Interest expenses on lease liabilities 109 316 Other bank charges 50 560 6,167 5,125 (b) Other items:– Amortization of other intangible assets 674 406 Depreciation of plant and equipment 160 596 Depreciation of right-of-use assets 2,975 7,200 Auditor’s remuneration for audit services 689 699 Variable lease payment not included in the measurement of lease liabilities 89 544 Short-term lease expenses 788 380 Directors’ remuneration – Note 7(a) 914 1,028 Other staff salaries and benefits 7,508 12,402 Retirement scheme cont</t>
        </is>
      </c>
    </row>
    <row r="34">
      <c r="A34" s="8" t="inlineStr">
        <is>
          <t>Intangible Assets &amp; Goodwill</t>
        </is>
      </c>
      <c r="B34" s="8" t="inlineStr">
        <is>
          <t>無形資產及商譽</t>
        </is>
      </c>
      <c r="C34" s="20" t="inlineStr">
        <is>
          <t>high</t>
        </is>
      </c>
      <c r="D34" s="11" t="inlineStr">
        <is>
          <t>intangible asset</t>
        </is>
      </c>
      <c r="E34" s="11" t="inlineStr">
        <is>
          <t>PDF p.118 (印刷頁 117)</t>
        </is>
      </c>
      <c r="F34" s="11" t="inlineStr">
        <is>
          <t>Notes to the Consolidated Financial Statements For the year ended 31 March 2026 14. INTANGIBLE ASSETS Franchise Trademark rights Total HK$’000 HK$’000 HK$’000 Cost:– At 1.4.2024 2,347 22,081 24,428 Disposals – (135) (135) At 31.3.2025 2,347 21,946 24,293 Accumulated depreciation:– At 1.4.2024 550 7,672 8,222 Charge for the year – 406 406 Written back on disposal – (135) (135) At 31.3.2025 550 7,943 8,493 Accumulated impairment:– At 1.4.2024 and 31.3.2025 1,795 9,334 11,129 Net bo</t>
        </is>
      </c>
    </row>
    <row r="35">
      <c r="A35" s="8" t="inlineStr">
        <is>
          <t>Intangible Assets &amp; Goodwill</t>
        </is>
      </c>
      <c r="B35" s="8" t="inlineStr">
        <is>
          <t>無形資產及商譽</t>
        </is>
      </c>
      <c r="C35" s="20" t="inlineStr">
        <is>
          <t>high</t>
        </is>
      </c>
      <c r="D35" s="11" t="inlineStr">
        <is>
          <t>goodwill</t>
        </is>
      </c>
      <c r="E35" s="11" t="inlineStr">
        <is>
          <t>PDF p.119 (印刷頁 118)</t>
        </is>
      </c>
      <c r="F35" s="11" t="inlineStr">
        <is>
          <t>For the year ended 31 March 2026 15. INTEREST IN AN ASSOCIATE 2026 2025 HK$’000 HK$’000 Unlisted investment: Share of net assets and goodwill 6,985 7,345 Impairment loss (6,034) (5,884) 951 1,461 The following table shows information of an associate that is material to the Group. This associate is accounted for in the consolidated financial statements using the equity method. The summarised financial information presented is based on the HKFRSs financial statements of the associate: 威海清影精 Name of associate : Weihai Qingying Pre</t>
        </is>
      </c>
    </row>
    <row r="36">
      <c r="A36" s="8" t="inlineStr">
        <is>
          <t>Intangible Assets &amp; Goodwill</t>
        </is>
      </c>
      <c r="B36" s="8" t="inlineStr">
        <is>
          <t>無形資產及商譽</t>
        </is>
      </c>
      <c r="C36" s="20" t="inlineStr">
        <is>
          <t>high</t>
        </is>
      </c>
      <c r="D36" s="11" t="inlineStr">
        <is>
          <t>goodwill</t>
        </is>
      </c>
      <c r="E36" s="11" t="inlineStr">
        <is>
          <t>PDF p.120 (印刷頁 119)</t>
        </is>
      </c>
      <c r="F36" s="11" t="inlineStr">
        <is>
          <t>623 16,757 Current assets 3,916 5,539 Current liabilities (56) (11) Net assets 20,483 22,285 Group’s share of net assets 4,097 4,457 Goodwill 2,888 2,888 6,985 7,345 Impairment loss (Note) (6,034) (5,884) Carrying amount of Group’s interests 951 1,461 1.4.2025 – 1.4.2024 – 31.3.2026 31.3.2025 Revenue 1 384 Loss before tax (1,801) (1,840) Other comprehensive income – – Total comprehensive income – – Dividends received from associate – – Note: In view of the delay in mass production and the loss incurred by Weihai Qingying for th</t>
        </is>
      </c>
    </row>
    <row r="37">
      <c r="A37" s="8" t="inlineStr">
        <is>
          <t>Intangible Assets &amp; Goodwill</t>
        </is>
      </c>
      <c r="B37" s="8" t="inlineStr">
        <is>
          <t>無形資產及商譽</t>
        </is>
      </c>
      <c r="C37" s="20" t="inlineStr">
        <is>
          <t>high</t>
        </is>
      </c>
      <c r="D37" s="11" t="inlineStr">
        <is>
          <t>intangible asset</t>
        </is>
      </c>
      <c r="E37" s="11" t="inlineStr">
        <is>
          <t>PDF p.121 (印刷頁 120)</t>
        </is>
      </c>
      <c r="F37" s="11" t="inlineStr">
        <is>
          <t>ear ended 31 March 2026, based on the management’s assessment, the corresponding recoverable amounts of certain plant and equipment, intangible assets and right-of-use assets associated with ITHK (collectively referred to as the “ITHK CGU”) are significantly lower than the carrying amounts because the management has closed relevant cake shops and no future economic benefits are expected to be generated from ITHK CGU. As a result, impairment loss of plant and equipment of approximately HK$213,000 (Note 11) and intangible assets</t>
        </is>
      </c>
    </row>
    <row r="38">
      <c r="A38" s="8" t="inlineStr">
        <is>
          <t>Intangible Assets &amp; Goodwill</t>
        </is>
      </c>
      <c r="B38" s="8" t="inlineStr">
        <is>
          <t>無形資產及商譽</t>
        </is>
      </c>
      <c r="C38" s="20" t="inlineStr">
        <is>
          <t>high</t>
        </is>
      </c>
      <c r="D38" s="11" t="inlineStr">
        <is>
          <t>intangible asset</t>
        </is>
      </c>
      <c r="E38" s="11" t="inlineStr">
        <is>
          <t>PDF p.122 (印刷頁 121)</t>
        </is>
      </c>
      <c r="F38" s="11" t="inlineStr">
        <is>
          <t>-in-use calculation and the allocation, no impairment loss was recognized against the carrying amounts of plant and equipment, other intangible assets and right-of-use assets for the year ended 31 March 2025. 121 StarGlory Holdings Company Limited Annual Report 2025-2026</t>
        </is>
      </c>
    </row>
    <row r="39">
      <c r="A39" s="8" t="inlineStr">
        <is>
          <t>Intangible Assets &amp; Goodwill</t>
        </is>
      </c>
      <c r="B39" s="8" t="inlineStr">
        <is>
          <t>無形資產及商譽</t>
        </is>
      </c>
      <c r="C39" s="20" t="inlineStr">
        <is>
          <t>high</t>
        </is>
      </c>
      <c r="D39" s="11" t="inlineStr">
        <is>
          <t>intangible asset</t>
        </is>
      </c>
      <c r="E39" s="11" t="inlineStr">
        <is>
          <t>PDF p.147 (印刷頁 146)</t>
        </is>
      </c>
      <c r="F39" s="11" t="inlineStr">
        <is>
          <t>688 2,830 6,444 Franchise and royalties expenses 349 717 – – 349 717 Short term lease expenses 199 – – – 199 – Amortization of other intangible assets 674 406 – – 674 406 Impairment of plant and equipment 213 – – – 213 – Impairment of intangible assets 3,997 – – – 3,997 – Impairment of trade debtors 146 – 412 – 558 – Additions to non-current assets – 1,893 – – – 1,893 146 StarGlory Holdings Company Limited Annual Report 2025-2026</t>
        </is>
      </c>
    </row>
    <row r="40">
      <c r="A40" s="8" t="inlineStr">
        <is>
          <t>Intangible Assets &amp; Goodwill</t>
        </is>
      </c>
      <c r="B40" s="8" t="inlineStr">
        <is>
          <t>無形資產及商譽</t>
        </is>
      </c>
      <c r="C40" s="20" t="inlineStr">
        <is>
          <t>high</t>
        </is>
      </c>
      <c r="D40" s="11" t="inlineStr">
        <is>
          <t>intangible asset</t>
        </is>
      </c>
      <c r="E40" s="11" t="inlineStr">
        <is>
          <t>PDF p.148 (印刷頁 147)</t>
        </is>
      </c>
      <c r="F40" s="11" t="inlineStr">
        <is>
          <t>of the assets, in the case of plant and equipment and (ii) the location of the operation to which they are allocated, in the case of intangible assets and right-of-use assets. (e) Major customers Revenue from customer of the corresponding years contributing over 10% of total revenue of the Group is as follows: 2026 2025 HK$’000 HK$’000 Customer A Revenue from Trading of photovoltaic products 2,633 – 147 StarGlory Holdings Company Limited Annual Report 2025-2026</t>
        </is>
      </c>
    </row>
    <row r="41">
      <c r="A41" s="8" t="inlineStr">
        <is>
          <t>Investment Properties</t>
        </is>
      </c>
      <c r="B41" s="8" t="inlineStr">
        <is>
          <t>投資物業</t>
        </is>
      </c>
      <c r="C41" s="20" t="inlineStr">
        <is>
          <t>high</t>
        </is>
      </c>
      <c r="D41" s="11" t="inlineStr">
        <is>
          <t>market rent</t>
        </is>
      </c>
      <c r="E41" s="11" t="inlineStr">
        <is>
          <t>PDF p.89 (印刷頁 88)</t>
        </is>
      </c>
      <c r="F41" s="11" t="inlineStr">
        <is>
          <t>e, if the lease term reflects the Group exercising an option to terminate the lease. Variable lease payments that reflect changes in market rental rates are initially measured using the market rental rates as at the commencement date. Variable lease payments that do not depend on an index or a rate are not included in the measurement of lease liabilities and right-of-use assets, and are recognized as expense in the period in which the event or condition that triggers the payment occurs. After the commencement date, lease liabil</t>
        </is>
      </c>
    </row>
    <row r="42">
      <c r="A42" s="8" t="inlineStr">
        <is>
          <t>ESG Data</t>
        </is>
      </c>
      <c r="B42" s="8" t="inlineStr">
        <is>
          <t>環境社會及管治數據</t>
        </is>
      </c>
      <c r="C42" s="8" t="inlineStr">
        <is>
          <t>medium</t>
        </is>
      </c>
      <c r="D42" s="11" t="inlineStr">
        <is>
          <t>sustainability</t>
        </is>
      </c>
      <c r="E42" s="11" t="inlineStr">
        <is>
          <t>PDF p.10 (印刷頁 9)</t>
        </is>
      </c>
      <c r="F42" s="11" t="inlineStr">
        <is>
          <t>; ii. Collaboration – we are always better together; iii. Responsibility – we are responsible for delivering on our commitments; iv. Sustainability – we are committed to a sustainable future; v. Diversity – we acknowledge the omnipresence of excellent ideas; and vi. Integrity – we endeavour to do it right. With a view of enhancing the effectiveness of its business model and creating a far-reaching impact of the corporate value, the Group will continue to review and refine its business strategies from time to time, and to better</t>
        </is>
      </c>
    </row>
    <row r="43">
      <c r="A43" s="8" t="inlineStr">
        <is>
          <t>ESG Data</t>
        </is>
      </c>
      <c r="B43" s="8" t="inlineStr">
        <is>
          <t>環境社會及管治數據</t>
        </is>
      </c>
      <c r="C43" s="8" t="inlineStr">
        <is>
          <t>medium</t>
        </is>
      </c>
      <c r="D43" s="11" t="inlineStr">
        <is>
          <t>ESG</t>
        </is>
      </c>
      <c r="E43" s="11" t="inlineStr">
        <is>
          <t>PDF p.25 (印刷頁 24)</t>
        </is>
      </c>
      <c r="F43" s="11" t="inlineStr">
        <is>
          <t>Environmental, Social and Governance Report ABOUT THIS REPORT This report is the tenth Environmental, Social and Governance (“ESG”) Report (the “Report”) published by StarGlory. The Report is to outline the performances on ESG aspects of the Group in accordance with the Environmental, Social and Governance Reporting Code (the “ESG Reporting Code”) under Appendix C2 to the GEM Listing Rules and the provisions of “comply or explain” set out therein. The Report covers the Group’s overall performance, risks, strategies, meas</t>
        </is>
      </c>
    </row>
    <row r="44">
      <c r="A44" s="8" t="inlineStr">
        <is>
          <t>ESG Data</t>
        </is>
      </c>
      <c r="B44" s="8" t="inlineStr">
        <is>
          <t>環境社會及管治數據</t>
        </is>
      </c>
      <c r="C44" s="8" t="inlineStr">
        <is>
          <t>medium</t>
        </is>
      </c>
      <c r="D44" s="11" t="inlineStr">
        <is>
          <t>ESG</t>
        </is>
      </c>
      <c r="E44" s="11" t="inlineStr">
        <is>
          <t>PDF p.26 (印刷頁 25)</t>
        </is>
      </c>
      <c r="F44" s="11" t="inlineStr">
        <is>
          <t>Environmental, Social and Governance Report ESG GOVERNANCE STRUCTURE The Group believes that a robust sustainable governance structure is vitally important to governing the effectiveness of the overall business. The Board, as the highest decision-making body of the Group, is responsible for all ESGrelated affairs including holding meetings from time to time to discuss, evaluate, and determine the Group’s ESGrelated risks and ensure that</t>
        </is>
      </c>
    </row>
    <row r="45">
      <c r="A45" s="8" t="inlineStr">
        <is>
          <t>ESG Data</t>
        </is>
      </c>
      <c r="B45" s="8" t="inlineStr">
        <is>
          <t>環境社會及管治數據</t>
        </is>
      </c>
      <c r="C45" s="8" t="inlineStr">
        <is>
          <t>medium</t>
        </is>
      </c>
      <c r="D45" s="11" t="inlineStr">
        <is>
          <t>greenhouse gas</t>
        </is>
      </c>
      <c r="E45" s="11" t="inlineStr">
        <is>
          <t>PDF p.28 (印刷頁 27)</t>
        </is>
      </c>
      <c r="F45" s="11" t="inlineStr">
        <is>
          <t>Reporting Period, there was no incident of non-compliance with local relevant environmental laws and regulations relating to air and greenhouse gas emissions, discharges into water and land, and generation of hazardous and non-hazardous wastes that had a significant impact on the Group. 27 StarGlory Holdings Company Limited Annual Report 2025-2026</t>
        </is>
      </c>
    </row>
    <row r="46">
      <c r="A46" s="8" t="inlineStr">
        <is>
          <t>ESG Data</t>
        </is>
      </c>
      <c r="B46" s="8" t="inlineStr">
        <is>
          <t>環境社會及管治數據</t>
        </is>
      </c>
      <c r="C46" s="8" t="inlineStr">
        <is>
          <t>medium</t>
        </is>
      </c>
      <c r="D46" s="11" t="inlineStr">
        <is>
          <t>greenhouse gas</t>
        </is>
      </c>
      <c r="E46" s="11" t="inlineStr">
        <is>
          <t>PDF p.29 (印刷頁 28)</t>
        </is>
      </c>
      <c r="F46" s="11" t="inlineStr">
        <is>
          <t>We will also keep abreast of any changes in relevant laws and make necessary revisions to our internal guidelines. EMISSIONS Air and Greenhouse Gases Emissions The Group’s principal business operations do not involve activities that directly emit greenhouse gas (“GHG”) or other air pollutants. While the energy indirect GHG emissions are generated from our daily operations through electricity consumption during our business processes to produce and deliver products to customers and in the Group’s general administration. We endea</t>
        </is>
      </c>
    </row>
    <row r="47">
      <c r="A47" s="8" t="inlineStr">
        <is>
          <t>ESG Data</t>
        </is>
      </c>
      <c r="B47" s="8" t="inlineStr">
        <is>
          <t>環境社會及管治數據</t>
        </is>
      </c>
      <c r="C47" s="8" t="inlineStr">
        <is>
          <t>medium</t>
        </is>
      </c>
      <c r="D47" s="11" t="inlineStr">
        <is>
          <t>energy consumption</t>
        </is>
      </c>
      <c r="E47" s="11" t="inlineStr">
        <is>
          <t>PDF p.30 (印刷頁 29)</t>
        </is>
      </c>
      <c r="F47" s="11" t="inlineStr">
        <is>
          <t>gradually reduce and optimize our resource usage, with a primary focus on decreasing air emissions, waste generation, and water and energy consumption. These targets are essential not only for driving improvements but also for assessing the effectiveness of the measures we implement. 29 StarGlory Holdings Company Limited Annual Report 2025-2026</t>
        </is>
      </c>
    </row>
    <row r="48">
      <c r="A48" s="8" t="inlineStr">
        <is>
          <t>ESG Data</t>
        </is>
      </c>
      <c r="B48" s="8" t="inlineStr">
        <is>
          <t>環境社會及管治數據</t>
        </is>
      </c>
      <c r="C48" s="8" t="inlineStr">
        <is>
          <t>medium</t>
        </is>
      </c>
      <c r="D48" s="11" t="inlineStr">
        <is>
          <t>carbon</t>
        </is>
      </c>
      <c r="E48" s="11" t="inlineStr">
        <is>
          <t>PDF p.31 (印刷頁 30)</t>
        </is>
      </c>
      <c r="F48" s="11" t="inlineStr">
        <is>
          <t>me weather. Contingency Plans have also been prepared to respond to the climatic risks. Besides, the Group is striving to reduce its carbon footprint proactively by implementing various measures to reduce energy consumption. 30 StarGlory Holdings Company Limited Annual Report 2025-2026</t>
        </is>
      </c>
    </row>
    <row r="49">
      <c r="A49" s="8" t="inlineStr">
        <is>
          <t>ESG Data</t>
        </is>
      </c>
      <c r="B49" s="8" t="inlineStr">
        <is>
          <t>環境社會及管治數據</t>
        </is>
      </c>
      <c r="C49" s="8" t="inlineStr">
        <is>
          <t>medium</t>
        </is>
      </c>
      <c r="D49" s="11" t="inlineStr">
        <is>
          <t>greenhouse gas</t>
        </is>
      </c>
      <c r="E49" s="11" t="inlineStr">
        <is>
          <t>PDF p.32 (印刷頁 31)</t>
        </is>
      </c>
      <c r="F49" s="11" t="inlineStr">
        <is>
          <t>icators Unit 2026 A1 Emissions Air Emissions Nitrogen oxides (NOx) kg N/A Sulphur oxides (SOx) kg N/A Particulate matter (PM) kg N/A Greenhouse Gas Emissions2 Scope 1 – Direct emissions Tonnes of CO2e N/A Scope 2 – Energy indirect emissions (Location-based)3 Tonnes of CO2e 23.33 Total Tonnes of CO2e 23.33 Intensity Tonnes of CO2e/ 0.002 HK$’000 revenue Non-hazardous Waste Total Tonnes 0.02 Intensity Tonnes/HK$’000 0.000002 revenue A2 Use of Resources Direct energy kWh N/A Indirect energy kWh 61,404.00 Total kWh 61,404.00 Intens</t>
        </is>
      </c>
    </row>
    <row r="50">
      <c r="A50" s="8" t="inlineStr">
        <is>
          <t>R&amp;D Expenditure</t>
        </is>
      </c>
      <c r="B50" s="8" t="inlineStr">
        <is>
          <t>研發開支</t>
        </is>
      </c>
      <c r="C50" s="8" t="inlineStr">
        <is>
          <t>medium</t>
        </is>
      </c>
      <c r="D50" s="11" t="inlineStr">
        <is>
          <t>research and development</t>
        </is>
      </c>
      <c r="E50" s="11" t="inlineStr">
        <is>
          <t>PDF p.5 (印刷頁 4)</t>
        </is>
      </c>
      <c r="F50" s="11" t="inlineStr">
        <is>
          <t>roup, marking an important step forward in the development of our new business. At the same time, the Group continued to advance its research and development and market expansion efforts, and continued to seek strategic alliances with leading industry players to enhance market penetration. Looking ahead, the Group will adopt a development strategy of “focusing on new businesses and exploring new opportunities”: The food and beverage business will be guided by principles of prudence and cost-effectiveness, flexibly optimising it</t>
        </is>
      </c>
    </row>
    <row r="51">
      <c r="A51" s="8" t="inlineStr">
        <is>
          <t>R&amp;D Expenditure</t>
        </is>
      </c>
      <c r="B51" s="8" t="inlineStr">
        <is>
          <t>研發開支</t>
        </is>
      </c>
      <c r="C51" s="8" t="inlineStr">
        <is>
          <t>medium</t>
        </is>
      </c>
      <c r="D51" s="11" t="inlineStr">
        <is>
          <t>research and development</t>
        </is>
      </c>
      <c r="E51" s="11" t="inlineStr">
        <is>
          <t>PDF p.44 (印刷頁 43)</t>
        </is>
      </c>
      <c r="F51" s="11" t="inlineStr">
        <is>
          <t>up will continue to actively advance the development of this business. During the Reporting Period, the Group continued to carry out research and development as well as preliminary market expansion work in respect of photovoltaic screen-printing technology and related new materials projects. However, the relevant products had not yet generated sales contributions of scale during the year. The Group will continue to review its business portfolio and actively capture suitable development opportunities, so as to promote the long-t</t>
        </is>
      </c>
    </row>
    <row r="52">
      <c r="A52" s="8" t="inlineStr">
        <is>
          <t>R&amp;D Expenditure</t>
        </is>
      </c>
      <c r="B52" s="8" t="inlineStr">
        <is>
          <t>研發開支</t>
        </is>
      </c>
      <c r="C52" s="8" t="inlineStr">
        <is>
          <t>medium</t>
        </is>
      </c>
      <c r="D52" s="11" t="inlineStr">
        <is>
          <t>research and development</t>
        </is>
      </c>
      <c r="E52" s="11" t="inlineStr">
        <is>
          <t>PDF p.50 (印刷頁 49)</t>
        </is>
      </c>
      <c r="F52" s="11" t="inlineStr">
        <is>
          <t>0) – – – – – – – – – – – – Potential investment opportunities 35.0 – (12.0) – 23.0 (16.0) – 7.0 0.1 – 7.1 (2.5) – 4.6 Investment in, research and development, sales and marketing of e-cigarette in the PRC and overseas countries – 15.0 (6.5) (2.9) 5.6 (2.6) (2.9) 3.0 (3.0) (2.9) – – (2.9) – Investment in medical and healthcare business – – 18.5 (18.5) – – (18.5) – – (18.5) – – (18.5) – Investment in renewable energy and new material – – – – – 13.0 (13.0) – – (13.0) – – (13.0) – TOTAL 99.0 – – (70.1) 28.9 – (89.0) 10.0 – (91.9) 7</t>
        </is>
      </c>
    </row>
    <row r="53">
      <c r="A53" s="8" t="inlineStr">
        <is>
          <t>R&amp;D Expenditure</t>
        </is>
      </c>
      <c r="B53" s="8" t="inlineStr">
        <is>
          <t>研發開支</t>
        </is>
      </c>
      <c r="C53" s="8" t="inlineStr">
        <is>
          <t>medium</t>
        </is>
      </c>
      <c r="D53" s="11" t="inlineStr">
        <is>
          <t>research and development</t>
        </is>
      </c>
      <c r="E53" s="11" t="inlineStr">
        <is>
          <t>PDF p.51 (印刷頁 50)</t>
        </is>
      </c>
      <c r="F53" s="11" t="inlineStr">
        <is>
          <t>originally reserved for the potential investment opportunities towards its indirect wholly-owned subsidiaries for the advancement of research and development in renewable energy and new material products and businesses. This included a strategic investment of RMB7.0 million (equivalent to approximately HK$7.7 million) in Weihai Qingying Precision Technology Company Limited, acquiring a 20% equity stake in the company and obtaining an exclusive sales right in order to develop the sales business in this arena; the Group has also</t>
        </is>
      </c>
    </row>
    <row r="54">
      <c r="A54" s="8" t="inlineStr">
        <is>
          <t>R&amp;D Expenditure</t>
        </is>
      </c>
      <c r="B54" s="8" t="inlineStr">
        <is>
          <t>研發開支</t>
        </is>
      </c>
      <c r="C54" s="8" t="inlineStr">
        <is>
          <t>medium</t>
        </is>
      </c>
      <c r="D54" s="11" t="inlineStr">
        <is>
          <t>research and development</t>
        </is>
      </c>
      <c r="E54" s="11" t="inlineStr">
        <is>
          <t>PDF p.56 (印刷頁 55)</t>
        </is>
      </c>
      <c r="F54" s="11" t="inlineStr">
        <is>
          <t>ged in, among others, purchase and sale of electricity, construction and operation of power grids, substations and power facilities, research and development related to power supply, new energy development and power engineering. From January 2016 to December 2019, Ms. Zhang served as a marketing specialist（營銷管理專員）of management the technical department in Beijing Ecom-Rise Energy Technology Co., Ltd.*（北京意科瑞思能源技術有限公司）, which engaged in, among others, supply of new energy and industrial electricity. From March 2013 to December 201</t>
        </is>
      </c>
    </row>
    <row r="55">
      <c r="A55" s="8" t="inlineStr">
        <is>
          <t>Segment Information</t>
        </is>
      </c>
      <c r="B55" s="8" t="inlineStr">
        <is>
          <t>分部資料</t>
        </is>
      </c>
      <c r="C55" s="8" t="inlineStr">
        <is>
          <t>medium</t>
        </is>
      </c>
      <c r="D55" s="11" t="inlineStr">
        <is>
          <t>geographical</t>
        </is>
      </c>
      <c r="E55" s="11" t="inlineStr">
        <is>
          <t>PDF p.36 (印刷頁 35)</t>
        </is>
      </c>
      <c r="F55" s="11" t="inlineStr">
        <is>
          <t>upplied us with food ingredients, such as meat, seafood, dried food and vegetables. We did not witness any significant change in the geographical location of suppliers. During the Reporting Period, our suppliers are mainly from Hong Kong and Chinese Mainland. The Group might be indirectly involved with environmental or social impacts as a result of its business relationships with its suppliers. To prevent negative environmental and social impacts in the Group’s supply chain, it is the Group’s policy to select suppliers which ha</t>
        </is>
      </c>
    </row>
    <row r="56">
      <c r="A56" s="8" t="inlineStr">
        <is>
          <t>Segment Information</t>
        </is>
      </c>
      <c r="B56" s="8" t="inlineStr">
        <is>
          <t>分部資料</t>
        </is>
      </c>
      <c r="C56" s="8" t="inlineStr">
        <is>
          <t>medium</t>
        </is>
      </c>
      <c r="D56" s="11" t="inlineStr">
        <is>
          <t>operating segment</t>
        </is>
      </c>
      <c r="E56" s="11" t="inlineStr">
        <is>
          <t>PDF p.102 (印刷頁 101)</t>
        </is>
      </c>
      <c r="F56" s="11" t="inlineStr">
        <is>
          <t>dated Financial Statements For the year ended 31 March 2026 3. MATERIAL ACCOUNTING POLICY INFORMATION (cont’d) (s) Segment reporting Operating segments, and the amounts of each segment item reported in the consolidated financial statements, are identified from the financial information provided regularly to the Group’s most senior executive management for the purposes of allocating resources to, and assessing the performance of, the Group’s various lines of business and geographical locations. Individual material operating segm</t>
        </is>
      </c>
    </row>
    <row r="57">
      <c r="A57" s="8" t="inlineStr">
        <is>
          <t>Segment Information</t>
        </is>
      </c>
      <c r="B57" s="8" t="inlineStr">
        <is>
          <t>分部資料</t>
        </is>
      </c>
      <c r="C57" s="8" t="inlineStr">
        <is>
          <t>medium</t>
        </is>
      </c>
      <c r="D57" s="11" t="inlineStr">
        <is>
          <t>segment information</t>
        </is>
      </c>
      <c r="E57" s="11" t="inlineStr">
        <is>
          <t>PDF p.144 (印刷頁 143)</t>
        </is>
      </c>
      <c r="F57" s="11" t="inlineStr">
        <is>
          <t>cial instruments carried at cost or amortized cost were not materially different from their values as at 31 March 2026 and 2025. 33. SEGMENT INFORMATION HKFRS 8 requires operating segments to be identified on the basis of internal reports about components of the Group that are regularly reviewed by the Directors, being the chief operating decision maker (“CODM”) in order to allocate resources to the segment and to assess its performance. During the year ended 31 March 2026, as a result of the commencement of trading of photovol</t>
        </is>
      </c>
    </row>
    <row r="58">
      <c r="A58" s="8" t="inlineStr">
        <is>
          <t>Segment Information</t>
        </is>
      </c>
      <c r="B58" s="8" t="inlineStr">
        <is>
          <t>分部資料</t>
        </is>
      </c>
      <c r="C58" s="8" t="inlineStr">
        <is>
          <t>medium</t>
        </is>
      </c>
      <c r="D58" s="11" t="inlineStr">
        <is>
          <t>segment information</t>
        </is>
      </c>
      <c r="E58" s="11" t="inlineStr">
        <is>
          <t>PDF p.145 (印刷頁 144)</t>
        </is>
      </c>
      <c r="F58" s="11" t="inlineStr">
        <is>
          <t>Notes to the Consolidated Financial Statements For the year ended 31 March 2026 33. SEGMENT INFORMATION (cont’d) (a) Segment revenue and results For the year ended 31 March 2026 The following is an analysis of the Group’s revenue and results by reportable segments. Trading of Food and beverage photovoltaic products Total 2026 2025 2026 2025 2026 2025 HK$’000 HK$’000 HK$’000 HK$’000 HK$’000 HK$’000 Segment revenue (external) 12,399 37,416 2,653 – 15,052 37,416 Segment loss (9,304)</t>
        </is>
      </c>
    </row>
    <row r="59">
      <c r="A59" s="8" t="inlineStr">
        <is>
          <t>Segment Information</t>
        </is>
      </c>
      <c r="B59" s="8" t="inlineStr">
        <is>
          <t>分部資料</t>
        </is>
      </c>
      <c r="C59" s="8" t="inlineStr">
        <is>
          <t>medium</t>
        </is>
      </c>
      <c r="D59" s="11" t="inlineStr">
        <is>
          <t>segment information</t>
        </is>
      </c>
      <c r="E59" s="11" t="inlineStr">
        <is>
          <t>PDF p.146 (印刷頁 145)</t>
        </is>
      </c>
      <c r="F59" s="11" t="inlineStr">
        <is>
          <t>Notes to the Consolidated Financial Statements For the year ended 31 March 2026 33. SEGMENT INFORMATION (cont’d) (b) Segment assets and liabilities The following is an analysis of the Group’s assets and liabilities by reportable segments: As at 31 March 2026 Segment assets Trading of Food and beverage photovoltaic products Total 2026 2025 2026 2025 2026 2025 HK$’000 HK$’000 HK$’000 HK$’000 HK$’000 HK$’000 Segment assets 2,088 16,813 6,001 2,577 8,089 19,390 Unallocated assets 10,</t>
        </is>
      </c>
    </row>
    <row r="60">
      <c r="A60" s="8" t="inlineStr">
        <is>
          <t>Segment Information</t>
        </is>
      </c>
      <c r="B60" s="8" t="inlineStr">
        <is>
          <t>分部資料</t>
        </is>
      </c>
      <c r="C60" s="8" t="inlineStr">
        <is>
          <t>medium</t>
        </is>
      </c>
      <c r="D60" s="11" t="inlineStr">
        <is>
          <t>segment information</t>
        </is>
      </c>
      <c r="E60" s="11" t="inlineStr">
        <is>
          <t>PDF p.147 (印刷頁 146)</t>
        </is>
      </c>
      <c r="F60" s="11" t="inlineStr">
        <is>
          <t>Notes to the Consolidated Financial Statements For the year ended 31 March 2026 33. SEGMENT INFORMATION (cont’d) (b) Segment assets and liabilities (cont’d) For the purpose of monitoring segment performance and allocating resources between segments: All assets are allocated between operating segments other than certain plant and equipment, certain right-of-use assets, certain deposits and prepayments, certain cash and cash equivalents and unallocated corporate assets of the headq</t>
        </is>
      </c>
    </row>
    <row r="61">
      <c r="A61" s="8" t="inlineStr">
        <is>
          <t>Segment Information</t>
        </is>
      </c>
      <c r="B61" s="8" t="inlineStr">
        <is>
          <t>分部資料</t>
        </is>
      </c>
      <c r="C61" s="8" t="inlineStr">
        <is>
          <t>medium</t>
        </is>
      </c>
      <c r="D61" s="11" t="inlineStr">
        <is>
          <t>segment information</t>
        </is>
      </c>
      <c r="E61" s="11" t="inlineStr">
        <is>
          <t>PDF p.148 (印刷頁 147)</t>
        </is>
      </c>
      <c r="F61" s="11" t="inlineStr">
        <is>
          <t>Notes to the Consolidated Financial Statements For the year ended 31 March 2026 33. SEGMENT INFORMATION (cont’d) (d) Geographical information PRC Hong Kong Total 2026 2025 2026 2025 2026 2025 HK$’000 HK$’000 HK$’000 HK$’000 HK$’000 HK$’000 Revenue 2,660 – 12,392 37,416 15,052 37,416 Non-current assets 1,174 2,341 442 7,994 1,616 10,335 The geographical location of customers is based on the location at which the services were provided or the goods delivered. The geographical locat</t>
        </is>
      </c>
    </row>
    <row r="62">
      <c r="A62" s="8" t="inlineStr">
        <is>
          <t>Share-based Payment</t>
        </is>
      </c>
      <c r="B62" s="8" t="inlineStr">
        <is>
          <t>以股份為基礎的付款</t>
        </is>
      </c>
      <c r="C62" s="8" t="inlineStr">
        <is>
          <t>medium</t>
        </is>
      </c>
      <c r="D62" s="11" t="inlineStr">
        <is>
          <t>share option</t>
        </is>
      </c>
      <c r="E62" s="11" t="inlineStr">
        <is>
          <t>PDF p.15 (印刷頁 14)</t>
        </is>
      </c>
      <c r="F62" s="11" t="inlineStr">
        <is>
          <t>als and objectives; • To review annually the appropriateness and relevance of the remuneration policy; • To administer the Company’s share option schemes as they apply to Directors and/or senior management; and • To make recommendations to the Board as it deems appropriate on any area within its scope of duties where action or improvement is needed. The emoluments of the executive Directors and senior management are decided by the Remuneration Committee, having regard to the Group’s operating results, individual performance and</t>
        </is>
      </c>
    </row>
    <row r="63">
      <c r="A63" s="8" t="inlineStr">
        <is>
          <t>Share-based Payment</t>
        </is>
      </c>
      <c r="B63" s="8" t="inlineStr">
        <is>
          <t>以股份為基礎的付款</t>
        </is>
      </c>
      <c r="C63" s="8" t="inlineStr">
        <is>
          <t>medium</t>
        </is>
      </c>
      <c r="D63" s="11" t="inlineStr">
        <is>
          <t>share option</t>
        </is>
      </c>
      <c r="E63" s="11" t="inlineStr">
        <is>
          <t>PDF p.49 (印刷頁 48)</t>
        </is>
      </c>
      <c r="F63" s="11" t="inlineStr">
        <is>
          <t>its such as medical subsidies, medical insurance, education/training subsidies and pension fund plans are offered to most employees. Share options are granted at the discretion of the Board and under the terms and conditions of the share option schemes adopted on 26 February 2003, 20 July 2012 and 22 September 2023. 48 StarGlory Holdings Company Limited Annual Report 2025-2026</t>
        </is>
      </c>
    </row>
    <row r="64">
      <c r="A64" s="8" t="inlineStr">
        <is>
          <t>Share-based Payment</t>
        </is>
      </c>
      <c r="B64" s="8" t="inlineStr">
        <is>
          <t>以股份為基礎的付款</t>
        </is>
      </c>
      <c r="C64" s="8" t="inlineStr">
        <is>
          <t>medium</t>
        </is>
      </c>
      <c r="D64" s="11" t="inlineStr">
        <is>
          <t>share option</t>
        </is>
      </c>
      <c r="E64" s="11" t="inlineStr">
        <is>
          <t>PDF p.61 (印刷頁 60)</t>
        </is>
      </c>
      <c r="F64" s="11" t="inlineStr">
        <is>
          <t>ing Holdings Limited, a company listed on the Main Board of the Stock Exchange (stock code: 1751) with effect from 31 December 2025. SHARE OPTIONS Share Option Schemes The Company has adopted share option schemes on 26 February 2003 which expired on 25 February 2013, on 20 July 2012 which expired on 19 July 2022, and on 22 September 2023 (the “Adoption Date”) (the “New Share Option Scheme”), respectively (collectively, the “Share Option Schemes”). The terms of the New Share Option Scheme are in compliance with the provisions of</t>
        </is>
      </c>
    </row>
    <row r="65">
      <c r="A65" s="8" t="inlineStr">
        <is>
          <t>Share-based Payment</t>
        </is>
      </c>
      <c r="B65" s="8" t="inlineStr">
        <is>
          <t>以股份為基礎的付款</t>
        </is>
      </c>
      <c r="C65" s="8" t="inlineStr">
        <is>
          <t>medium</t>
        </is>
      </c>
      <c r="D65" s="11" t="inlineStr">
        <is>
          <t>share option</t>
        </is>
      </c>
      <c r="E65" s="11" t="inlineStr">
        <is>
          <t>PDF p.62 (印刷頁 61)</t>
        </is>
      </c>
      <c r="F65" s="11" t="inlineStr">
        <is>
          <t>Directors’ Report SHARE OPTIONS (cont’d) Share Option Schemes (cont’d) (C) Eligible Option Participants The Eligible Option Participants of the New Share Option Scheme include: (a) the director(s) and employee(s) (whether full-time or part-time) of any member of the Group (including persons who are granted options under the New Share Option Scheme as inducement to enter into employment contracts with the Group (the</t>
        </is>
      </c>
    </row>
    <row r="66">
      <c r="A66" s="8" t="inlineStr">
        <is>
          <t>Share-based Payment</t>
        </is>
      </c>
      <c r="B66" s="8" t="inlineStr">
        <is>
          <t>以股份為基礎的付款</t>
        </is>
      </c>
      <c r="C66" s="8" t="inlineStr">
        <is>
          <t>medium</t>
        </is>
      </c>
      <c r="D66" s="11" t="inlineStr">
        <is>
          <t>share option</t>
        </is>
      </c>
      <c r="E66" s="11" t="inlineStr">
        <is>
          <t>PDF p.63 (印刷頁 62)</t>
        </is>
      </c>
      <c r="F66" s="11" t="inlineStr">
        <is>
          <t>Directors’ Report SHARE OPTIONS (cont’d) Share Option Schemes (cont’d) (F) Grant and Acceptance of Options An option may be exercised in accordance with the scheme rules of the New Share Option Scheme at any time during a period as the Board may determine which shall not exceed 10 years from the date of grant subject to the provisions of early termination thereof. An offer for the grant of options shall remain open</t>
        </is>
      </c>
    </row>
    <row r="67">
      <c r="A67" s="8" t="inlineStr">
        <is>
          <t>Share-based Payment</t>
        </is>
      </c>
      <c r="B67" s="8" t="inlineStr">
        <is>
          <t>以股份為基礎的付款</t>
        </is>
      </c>
      <c r="C67" s="8" t="inlineStr">
        <is>
          <t>medium</t>
        </is>
      </c>
      <c r="D67" s="11" t="inlineStr">
        <is>
          <t>share option</t>
        </is>
      </c>
      <c r="E67" s="11" t="inlineStr">
        <is>
          <t>PDF p.99 (印刷頁 98)</t>
        </is>
      </c>
      <c r="F67" s="11" t="inlineStr">
        <is>
          <t>ult of voluntary redundancy by having a detailed formal plan which is without realistic possibility of withdrawal. The fair value of share options granted to employees measured at the grant date and is adjusted for the estimated number of shares that will eventually be vested is recognized as an employee cost on a straight-line basis over the vesting period, with a corresponding increase in an employee share-based compensation reserve. For the purposes of diluted earnings per share, the exercise price of the options is adjusted</t>
        </is>
      </c>
    </row>
    <row r="68">
      <c r="A68" s="8" t="inlineStr">
        <is>
          <t>Share-based Payment</t>
        </is>
      </c>
      <c r="B68" s="8" t="inlineStr">
        <is>
          <t>以股份為基礎的付款</t>
        </is>
      </c>
      <c r="C68" s="8" t="inlineStr">
        <is>
          <t>medium</t>
        </is>
      </c>
      <c r="D68" s="11" t="inlineStr">
        <is>
          <t>share option</t>
        </is>
      </c>
      <c r="E68" s="11" t="inlineStr">
        <is>
          <t>PDF p.133 (印刷頁 132)</t>
        </is>
      </c>
      <c r="F68" s="11" t="inlineStr">
        <is>
          <t>nent includes the conversion option component and gain from modification treated as deemed contribution from equity participant. 27. SHARE OPTIONS The Company adopted share option schemes on 26 February 2003 which expired on 25 February 2013, on 20 July 2012 which expired on 19 July 2022 and on 22 September 2023 (the “New Share Option Scheme”) (collectively referred to as the “Share Option Schemes”). The New Share Option Scheme shall be subject to the administration of the Board whose decision on all matters arising in relation</t>
        </is>
      </c>
    </row>
    <row r="69">
      <c r="A69" s="8" t="inlineStr">
        <is>
          <t>Related Party Transactions</t>
        </is>
      </c>
      <c r="B69" s="8" t="inlineStr">
        <is>
          <t>關聯方交易</t>
        </is>
      </c>
      <c r="C69" s="8" t="inlineStr">
        <is>
          <t>low</t>
        </is>
      </c>
      <c r="D69" s="11" t="inlineStr">
        <is>
          <t>connected transaction</t>
        </is>
      </c>
      <c r="E69" s="11" t="inlineStr">
        <is>
          <t>PDF p.59 (印刷頁 58)</t>
        </is>
      </c>
      <c r="F69" s="11" t="inlineStr">
        <is>
          <t>ries to entitle such rights to the Directors or their respective spouse or children under the age of 18 in any other body corporate. CONNECTED TRANSACTIONS During the Reporting Period, the Company had not entered into any connected transaction or continuing connected transaction which is required to be disclosed under Chapter 20 of the GEM Listing Rules. 58 StarGlory Holdings Company Limited Annual Report 2025-2026</t>
        </is>
      </c>
    </row>
    <row r="70">
      <c r="A70" s="8" t="inlineStr">
        <is>
          <t>Related Party Transactions</t>
        </is>
      </c>
      <c r="B70" s="8" t="inlineStr">
        <is>
          <t>關聯方交易</t>
        </is>
      </c>
      <c r="C70" s="8" t="inlineStr">
        <is>
          <t>low</t>
        </is>
      </c>
      <c r="D70" s="11" t="inlineStr">
        <is>
          <t>related party</t>
        </is>
      </c>
      <c r="E70" s="11" t="inlineStr">
        <is>
          <t>PDF p.136 (印刷頁 135)</t>
        </is>
      </c>
      <c r="F70" s="11" t="inlineStr">
        <is>
          <t>Notes to the Consolidated Financial Statements For the year ended 31 March 2026 30. RELATED PARTY AND CONNECTED TRANSACTIONS The Group had no material transactions with its related parties and connected persons as defined in HKAS 24 and GEM Listing Rules in both years. The remunerations of Directors (Note 7) and other members of key management personnel during the year ended 31 March 2026 and 2025 were as follows: Directors’ and key management personnel’s remunerations 2026 2025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6"/>
  <sheetViews>
    <sheetView workbookViewId="0">
      <pane ySplit="25" topLeftCell="A26"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R&amp;D Expenses</t>
        </is>
      </c>
    </row>
    <row r="9">
      <c r="A9" s="8" t="inlineStr">
        <is>
          <t>Income Statement</t>
        </is>
      </c>
      <c r="B9" s="8" t="inlineStr">
        <is>
          <t>Depreciation</t>
        </is>
      </c>
    </row>
    <row r="10">
      <c r="A10" s="8" t="inlineStr">
        <is>
          <t>Income Statement</t>
        </is>
      </c>
      <c r="B10" s="8" t="inlineStr">
        <is>
          <t>Amortisation</t>
        </is>
      </c>
    </row>
    <row r="11">
      <c r="A11" s="8" t="inlineStr">
        <is>
          <t>Balance Sheet</t>
        </is>
      </c>
      <c r="B11" s="8" t="inlineStr">
        <is>
          <t>Total Assets</t>
        </is>
      </c>
    </row>
    <row r="12">
      <c r="A12" s="8" t="inlineStr">
        <is>
          <t>Balance Sheet</t>
        </is>
      </c>
      <c r="B12" s="8" t="inlineStr">
        <is>
          <t>Trade Receivables</t>
        </is>
      </c>
    </row>
    <row r="13">
      <c r="A13" s="8" t="inlineStr">
        <is>
          <t>Balance Sheet</t>
        </is>
      </c>
      <c r="B13" s="8" t="inlineStr">
        <is>
          <t>Goodwill</t>
        </is>
      </c>
    </row>
    <row r="14">
      <c r="A14" s="8" t="inlineStr">
        <is>
          <t>Balance Sheet</t>
        </is>
      </c>
      <c r="B14" s="8" t="inlineStr">
        <is>
          <t>Investment Properties</t>
        </is>
      </c>
    </row>
    <row r="15">
      <c r="A15" s="8" t="inlineStr">
        <is>
          <t>Balance Sheet</t>
        </is>
      </c>
      <c r="B15" s="8" t="inlineStr">
        <is>
          <t>Property Plant and Equipment</t>
        </is>
      </c>
    </row>
    <row r="16">
      <c r="A16" s="8" t="inlineStr">
        <is>
          <t>Balance Sheet</t>
        </is>
      </c>
      <c r="B16" s="8" t="inlineStr">
        <is>
          <t>Total Liabilities</t>
        </is>
      </c>
    </row>
    <row r="17">
      <c r="A17" s="8" t="inlineStr">
        <is>
          <t>Balance Sheet</t>
        </is>
      </c>
      <c r="B17" s="8" t="inlineStr">
        <is>
          <t>Borrowings</t>
        </is>
      </c>
    </row>
    <row r="18">
      <c r="A18" s="8" t="inlineStr">
        <is>
          <t>Cash Flow</t>
        </is>
      </c>
      <c r="B18" s="8" t="inlineStr">
        <is>
          <t>Financing Cash Flow</t>
        </is>
      </c>
    </row>
    <row r="19">
      <c r="A19" s="8" t="inlineStr">
        <is>
          <t>Cash Flow</t>
        </is>
      </c>
      <c r="B19" s="8" t="inlineStr">
        <is>
          <t>Capital Expenditure</t>
        </is>
      </c>
    </row>
    <row r="22">
      <c r="A22" s="5" t="inlineStr">
        <is>
          <t>二、文字量過低的頁面(疑似掃描頁)</t>
        </is>
      </c>
    </row>
    <row r="23">
      <c r="A23" s="2" t="inlineStr">
        <is>
          <t>這些頁面幾乎抓不到文字,通常是掃描件或純圖表,建議人手翻閱或另行 OCR。</t>
        </is>
      </c>
    </row>
    <row r="25">
      <c r="A25" s="7" t="inlineStr">
        <is>
          <t>PDF 頁碼</t>
        </is>
      </c>
      <c r="B25" s="7" t="inlineStr">
        <is>
          <t>狀態</t>
        </is>
      </c>
    </row>
    <row r="26">
      <c r="A26" s="8" t="n">
        <v>1</v>
      </c>
      <c r="B26"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2026-08-30T14:15:45Z</dcterms:created>
  <dcterms:modified xsi:type="dcterms:W3CDTF">2026-08-30T14:15:45Z</dcterms:modified>
</cp:coreProperties>
</file>
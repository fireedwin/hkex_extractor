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0">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9C0006"/>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8"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趨勢圖'!$A$5:$A$10</f>
            </numRef>
          </cat>
          <val>
            <numRef>
              <f>'Chart 趨勢圖'!$B$5:$B$10</f>
            </numRef>
          </val>
        </ser>
        <ser>
          <idx val="1"/>
          <order val="1"/>
          <tx>
            <strRef>
              <f>'Chart 趨勢圖'!C4</f>
            </strRef>
          </tx>
          <spPr>
            <a:ln>
              <a:prstDash val="solid"/>
            </a:ln>
          </spPr>
          <cat>
            <numRef>
              <f>'Chart 趨勢圖'!$A$5:$A$10</f>
            </numRef>
          </cat>
          <val>
            <numRef>
              <f>'Chart 趨勢圖'!$C$5:$C$10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03638_HUNLICAR_GROUP_20260730.pdf</t>
        </is>
      </c>
    </row>
    <row r="5">
      <c r="A5" s="3" t="inlineStr">
        <is>
          <t>產生時間 Generated</t>
        </is>
      </c>
      <c r="B5" s="4" t="inlineStr">
        <is>
          <t>2026-08-30 22:15</t>
        </is>
      </c>
    </row>
    <row r="6">
      <c r="A6" s="4" t="inlineStr"/>
      <c r="B6" s="4" t="inlineStr"/>
    </row>
    <row r="7">
      <c r="A7" s="3" t="inlineStr">
        <is>
          <t>總頁數 Total pages</t>
        </is>
      </c>
      <c r="B7" s="4" t="n">
        <v>314</v>
      </c>
    </row>
    <row r="8">
      <c r="A8" s="3" t="inlineStr">
        <is>
          <t>已擷取字元 Characters extracted</t>
        </is>
      </c>
      <c r="B8" s="4" t="n">
        <v>618342</v>
      </c>
    </row>
    <row r="9">
      <c r="A9" s="3" t="inlineStr">
        <is>
          <t>含表格頁數 Pages with tables</t>
        </is>
      </c>
      <c r="B9" s="4" t="n">
        <v>0</v>
      </c>
    </row>
    <row r="10">
      <c r="A10" s="3" t="inlineStr">
        <is>
          <t>需人手/OCR 頁數 Pages needing OCR</t>
        </is>
      </c>
      <c r="B10" s="4" t="n">
        <v>1</v>
      </c>
    </row>
    <row r="11">
      <c r="A11" s="4" t="inlineStr"/>
      <c r="B11" s="4" t="inlineStr"/>
    </row>
    <row r="12">
      <c r="A12" s="3" t="inlineStr">
        <is>
          <t>估值參數擷取筆數 Valuation parameters</t>
        </is>
      </c>
      <c r="B12" s="4" t="n">
        <v>10</v>
      </c>
    </row>
    <row r="13">
      <c r="A13" s="3" t="inlineStr">
        <is>
          <t>財務科目擷取筆數 Financial line items</t>
        </is>
      </c>
      <c r="B13" s="4" t="n">
        <v>21</v>
      </c>
    </row>
    <row r="14">
      <c r="A14" s="3" t="inlineStr">
        <is>
          <t>主題段落擷取筆數 Topic extracts</t>
        </is>
      </c>
      <c r="B14" s="4" t="n">
        <v>155</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485,908 − 338,176 = 147,732</t>
        </is>
      </c>
    </row>
    <row r="20">
      <c r="A20" s="7" t="inlineStr">
        <is>
          <t>✗ 總資產 = 總負債 + 總權益</t>
        </is>
      </c>
      <c r="B20" s="4" t="inlineStr">
        <is>
          <t>669,872 vs 423,328 + 215,349 = 638,677</t>
        </is>
      </c>
    </row>
    <row r="21">
      <c r="A21" s="6" t="inlineStr">
        <is>
          <t>✓ 收入 − 銷售成本 = 毛利</t>
        </is>
      </c>
      <c r="B21" s="4" t="inlineStr">
        <is>
          <t>228,827 − 131,510 = 97,317 vs 毛利 97,317</t>
        </is>
      </c>
    </row>
    <row r="22">
      <c r="A22" s="6" t="inlineStr">
        <is>
          <t>✓ 除稅前溢利 ± 稅項 = 年內溢利</t>
        </is>
      </c>
      <c r="B22" s="4" t="inlineStr">
        <is>
          <t>27,749 + 727 = 27,022 vs 27,022</t>
        </is>
      </c>
    </row>
    <row r="23">
      <c r="A23" s="6" t="inlineStr">
        <is>
          <t>✓ 三大報表應相鄰</t>
        </is>
      </c>
      <c r="B23" s="4" t="inlineStr">
        <is>
          <t>Income Statement: p.122、Balance Sheet: p.124、Cash Flow: p.128(相距 6 頁)</t>
        </is>
      </c>
    </row>
    <row r="25">
      <c r="A25" s="5" t="inlineStr">
        <is>
          <t>方法論 Methodology</t>
        </is>
      </c>
    </row>
    <row r="26">
      <c r="A26" s="4" t="inlineStr">
        <is>
          <t>1. 逐頁擷取文字,全程保留 PDF 頁碼與年報印刷頁碼(可追溯性)。</t>
        </is>
      </c>
    </row>
    <row r="27">
      <c r="A27" s="4" t="inlineStr">
        <is>
          <t>2. 規則層(正則/關鍵字)先把全份文件縮減為少數相關頁面 —— 解決「文件太大」。</t>
        </is>
      </c>
    </row>
    <row r="28">
      <c r="A28" s="4" t="inlineStr">
        <is>
          <t>3. 數字由正則精確擷取並做合理性檢查,不由語言模型生成 —— 解決「準確度」。</t>
        </is>
      </c>
    </row>
    <row r="29">
      <c r="A29" s="4" t="inlineStr">
        <is>
          <t>4. AI 僅在縮減後的頁面上做語意判斷,且輸出頁碼須通過驗證才保留。</t>
        </is>
      </c>
    </row>
    <row r="30">
      <c r="A30" s="4" t="inlineStr">
        <is>
          <t>5. 所有結果附來源頁碼與原文行,供估值師覆核。信心度為 Low 者建議人手確認。</t>
        </is>
      </c>
    </row>
    <row r="31">
      <c r="A31"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8" t="inlineStr">
        <is>
          <t>參數 Parameter</t>
        </is>
      </c>
      <c r="B4" s="8" t="inlineStr">
        <is>
          <t>中文</t>
        </is>
      </c>
      <c r="C4" s="8" t="inlineStr">
        <is>
          <t>下限 Low (%)</t>
        </is>
      </c>
      <c r="D4" s="8" t="inlineStr">
        <is>
          <t>上限 High (%)</t>
        </is>
      </c>
      <c r="E4" s="8" t="inlineStr">
        <is>
          <t>原文數值</t>
        </is>
      </c>
      <c r="F4" s="8" t="inlineStr">
        <is>
          <t>信心度</t>
        </is>
      </c>
      <c r="G4" s="8" t="inlineStr">
        <is>
          <t>來源頁 Source Page</t>
        </is>
      </c>
      <c r="H4" s="8" t="inlineStr">
        <is>
          <t>上下文 Context</t>
        </is>
      </c>
    </row>
    <row r="5">
      <c r="A5" s="9" t="inlineStr">
        <is>
          <t>Discount Rate</t>
        </is>
      </c>
      <c r="B5" s="9" t="inlineStr">
        <is>
          <t>折現率</t>
        </is>
      </c>
      <c r="C5" s="10" t="n">
        <v>20.1</v>
      </c>
      <c r="D5" s="11" t="n">
        <v>20.1</v>
      </c>
      <c r="E5" s="12" t="inlineStr">
        <is>
          <t>20.1%</t>
        </is>
      </c>
      <c r="F5" s="12" t="inlineStr">
        <is>
          <t>High</t>
        </is>
      </c>
      <c r="G5" s="12" t="inlineStr">
        <is>
          <t>PDF p.223 (印刷頁 222)</t>
        </is>
      </c>
      <c r="H5" s="12" t="inlineStr">
        <is>
          <t>： as follows: As at 31 March 於三月三十一日 2025 二零二五年 Terminal growth rate 永久增長率 2.0% Discount rate (pre-tax) 貼現率（稅前） 20.1% During the year ended 31 March 2025, there has been a 截至二零二五年三月三十一日止年 decrease in customer demand, leading to lower sales 度，客戶需求減少，導致銷售</t>
        </is>
      </c>
    </row>
    <row r="6">
      <c r="A6" s="9" t="inlineStr">
        <is>
          <t>Discount Rate</t>
        </is>
      </c>
      <c r="B6" s="9" t="inlineStr">
        <is>
          <t>折現率</t>
        </is>
      </c>
      <c r="C6" s="10" t="n">
        <v>22.7</v>
      </c>
      <c r="D6" s="11" t="n">
        <v>22.7</v>
      </c>
      <c r="E6" s="12" t="inlineStr">
        <is>
          <t>22.7%</t>
        </is>
      </c>
      <c r="F6" s="12" t="inlineStr">
        <is>
          <t>High</t>
        </is>
      </c>
      <c r="G6" s="12" t="inlineStr">
        <is>
          <t>PDF p.224 (印刷頁 223)</t>
        </is>
      </c>
      <c r="H6" s="12" t="inlineStr">
        <is>
          <t xml:space="preserve"> at 31 March 於三月三十一日 2026 2025 二零二六年 二零二五年 Terminal growth rate 永久增長率 1.8% 2.0% Discount rate (pre-tax) 貼現率（稅前） 22.7% 23.5% Management determined the budgeted revenue based 管理層按其對市場發展的預期釐定 on their expectations of market developments with the 預算收入，而增長率乃</t>
        </is>
      </c>
    </row>
    <row r="7">
      <c r="A7" s="9" t="inlineStr">
        <is>
          <t>Discount Rate</t>
        </is>
      </c>
      <c r="B7" s="9" t="inlineStr">
        <is>
          <t>折現率</t>
        </is>
      </c>
      <c r="C7" s="10" t="n">
        <v>15</v>
      </c>
      <c r="D7" s="11" t="n">
        <v>15</v>
      </c>
      <c r="E7" s="12" t="inlineStr">
        <is>
          <t>15.0%</t>
        </is>
      </c>
      <c r="F7" s="12" t="inlineStr">
        <is>
          <t>High</t>
        </is>
      </c>
      <c r="G7" s="12" t="inlineStr">
        <is>
          <t>PDF p.226 (印刷頁 225)</t>
        </is>
      </c>
      <c r="H7" s="12" t="inlineStr">
        <is>
          <t xml:space="preserve">： as follows: As at 31 March 於三月三十一日 2026 二零二六年 Terminal growth rate 永久增長率 1.8% Discount rate (pre-tax) 貼現率（稅前） 15.0% Management determined the budgeted revenue based 管理層按其對市場發展的預期釐定 on their expectations of market developments with the 預算收入，而增長率乃基於行業預 </t>
        </is>
      </c>
    </row>
    <row r="8">
      <c r="A8" s="9" t="inlineStr">
        <is>
          <t>Discount Rate</t>
        </is>
      </c>
      <c r="B8" s="9" t="inlineStr">
        <is>
          <t>折現率</t>
        </is>
      </c>
      <c r="C8" s="10" t="n">
        <v>15.5</v>
      </c>
      <c r="D8" s="11" t="n">
        <v>15.5</v>
      </c>
      <c r="E8" s="12" t="inlineStr">
        <is>
          <t>15.5%</t>
        </is>
      </c>
      <c r="F8" s="12" t="inlineStr">
        <is>
          <t>High</t>
        </is>
      </c>
      <c r="G8" s="12" t="inlineStr">
        <is>
          <t>PDF p.286 (印刷頁 285)</t>
        </is>
      </c>
      <c r="H8" s="12" t="inlineStr">
        <is>
          <t>股本證券 市場法 市盈率 不適用 （二零二五年： 6.12） Equity securities designated at 指定為按公平值計入 Income Discount rate 15.5% fair value through other 其他綜合收入之 Approach (2025: 12.9%) comprehensive income: 股本證券：非上市 unlisted equity securities 股本證券 收入法 貼現率 15.5% （二零二五年： 12.9%） Termi</t>
        </is>
      </c>
    </row>
    <row r="9">
      <c r="A9" s="9" t="inlineStr">
        <is>
          <t>Gross Margin</t>
        </is>
      </c>
      <c r="B9" s="9" t="inlineStr">
        <is>
          <t>毛利率</t>
        </is>
      </c>
      <c r="C9" s="10" t="n">
        <v>42.5</v>
      </c>
      <c r="D9" s="11" t="n">
        <v>42.5</v>
      </c>
      <c r="E9" s="12" t="inlineStr">
        <is>
          <t>42.5%</t>
        </is>
      </c>
      <c r="F9" s="12" t="inlineStr">
        <is>
          <t>High</t>
        </is>
      </c>
      <c r="G9" s="12" t="inlineStr">
        <is>
          <t>PDF p.45 (印刷頁 44)</t>
        </is>
      </c>
      <c r="H9" s="12" t="inlineStr">
        <is>
          <t>ease in revenue derived from computer and electronic products trading business. Gross profit margin for the Year was approximately 42.5% (2025: 本年度毛利率約為42.5%（二零二五年：約為 approximately 40.3%). The increase in gross profit margin was 40.3%）。毛利率上升主要因電腦及電子產品貿 mainly</t>
        </is>
      </c>
    </row>
    <row r="10">
      <c r="A10" s="9" t="inlineStr">
        <is>
          <t>Gross Margin</t>
        </is>
      </c>
      <c r="B10" s="9" t="inlineStr">
        <is>
          <t>毛利率</t>
        </is>
      </c>
      <c r="C10" s="10" t="n">
        <v>40.3</v>
      </c>
      <c r="D10" s="11" t="n">
        <v>40.3</v>
      </c>
      <c r="E10" s="12" t="inlineStr">
        <is>
          <t>40.3%</t>
        </is>
      </c>
      <c r="F10" s="12" t="inlineStr">
        <is>
          <t>High</t>
        </is>
      </c>
      <c r="G10" s="12" t="inlineStr">
        <is>
          <t>PDF p.45 (印刷頁 44)</t>
        </is>
      </c>
      <c r="H10" s="12" t="inlineStr">
        <is>
          <t>ately 42.5% (2025: 本年度毛利率約為42.5%（二零二五年：約為 approximately 40.3%). The increase in gross profit margin was 40.3%）。毛利率上升主要因電腦及電子產品貿 mainly caused by the decreased in contribution from the computer 易分部的貢獻減少所致，而該分部的利潤率相 and electronic products trading segment, whic</t>
        </is>
      </c>
    </row>
    <row r="11">
      <c r="A11" s="9" t="inlineStr">
        <is>
          <t>Terminal Growth Rate</t>
        </is>
      </c>
      <c r="B11" s="9" t="inlineStr">
        <is>
          <t>永續增長率</t>
        </is>
      </c>
      <c r="C11" s="10" t="n">
        <v>2</v>
      </c>
      <c r="D11" s="11" t="n">
        <v>2</v>
      </c>
      <c r="E11" s="12" t="inlineStr">
        <is>
          <t>2.0%</t>
        </is>
      </c>
      <c r="F11" s="12" t="inlineStr">
        <is>
          <t>High</t>
        </is>
      </c>
      <c r="G11" s="12" t="inlineStr">
        <is>
          <t>PDF p.223 (印刷頁 222)</t>
        </is>
      </c>
      <c r="H11" s="12" t="inlineStr">
        <is>
          <t xml:space="preserve"> calculation are 使用價值計算所用的主要假設如下： as follows: As at 31 March 於三月三十一日 2025 二零二五年 Terminal growth rate 永久增長率 2.0% Discount rate (pre-tax) 貼現率（稅前） 20.1% During the year ended 31 March 2025, there has been a 截至二零二五年三月三十一日止年 decrease in customer demand, leadin</t>
        </is>
      </c>
    </row>
    <row r="12">
      <c r="A12" s="9" t="inlineStr">
        <is>
          <t>Terminal Growth Rate</t>
        </is>
      </c>
      <c r="B12" s="9" t="inlineStr">
        <is>
          <t>永續增長率</t>
        </is>
      </c>
      <c r="C12" s="10" t="n">
        <v>1.8</v>
      </c>
      <c r="D12" s="11" t="n">
        <v>1.8</v>
      </c>
      <c r="E12" s="12" t="inlineStr">
        <is>
          <t>1.8%</t>
        </is>
      </c>
      <c r="F12" s="12" t="inlineStr">
        <is>
          <t>High</t>
        </is>
      </c>
      <c r="G12" s="12" t="inlineStr">
        <is>
          <t>PDF p.224 (印刷頁 223)</t>
        </is>
      </c>
      <c r="H12" s="12" t="inlineStr">
        <is>
          <t>n are 使用價值計算所用的主要假設如下： as follows: As at 31 March 於三月三十一日 2026 2025 二零二六年 二零二五年 Terminal growth rate 永久增長率 1.8% 2.0% Discount rate (pre-tax) 貼現率（稅前） 22.7% 23.5% Management determined the budgeted revenue based 管理層按其對市場發展的預期釐定 on their expectations of mark</t>
        </is>
      </c>
    </row>
    <row r="13">
      <c r="A13" s="9" t="inlineStr">
        <is>
          <t>Terminal Growth Rate</t>
        </is>
      </c>
      <c r="B13" s="9" t="inlineStr">
        <is>
          <t>永續增長率</t>
        </is>
      </c>
      <c r="C13" s="10" t="n">
        <v>1.8</v>
      </c>
      <c r="D13" s="11" t="n">
        <v>1.8</v>
      </c>
      <c r="E13" s="12" t="inlineStr">
        <is>
          <t>1.8%</t>
        </is>
      </c>
      <c r="F13" s="12" t="inlineStr">
        <is>
          <t>High</t>
        </is>
      </c>
      <c r="G13" s="12" t="inlineStr">
        <is>
          <t>PDF p.226 (印刷頁 225)</t>
        </is>
      </c>
      <c r="H13" s="12" t="inlineStr">
        <is>
          <t xml:space="preserve"> calculation are 使用價值計算所用的主要假設如下： as follows: As at 31 March 於三月三十一日 2026 二零二六年 Terminal growth rate 永久增長率 1.8% Discount rate (pre-tax) 貼現率（稅前） 15.0% Management determined the budgeted revenue based 管理層按其對市場發展的預期釐定 on their expectations of market developm</t>
        </is>
      </c>
    </row>
    <row r="14">
      <c r="A14" s="9" t="inlineStr">
        <is>
          <t>Terminal Growth Rate</t>
        </is>
      </c>
      <c r="B14" s="9" t="inlineStr">
        <is>
          <t>永續增長率</t>
        </is>
      </c>
      <c r="C14" s="10" t="n">
        <v>1</v>
      </c>
      <c r="D14" s="11" t="n">
        <v>1</v>
      </c>
      <c r="E14" s="12" t="inlineStr">
        <is>
          <t>1%</t>
        </is>
      </c>
      <c r="F14" s="12" t="inlineStr">
        <is>
          <t>Medium</t>
        </is>
      </c>
      <c r="G14" s="12" t="inlineStr">
        <is>
          <t>PDF p.287 (印刷頁 286)</t>
        </is>
      </c>
      <c r="H14" s="12" t="inlineStr">
        <is>
          <t>ents, 計量上升，反之亦然。倘永久 and vice versa. A 1% increase/decrease in the 增長率上升╱下降1%，而所 terminal growth rate holding all other variables 有其他變量保持不變，則非上 constant would increase/decrease the carrying 市股本投資之賬面值將分別增 amount of unlisted equity investments by 加╱減少22,000港</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7"/>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8" t="inlineStr">
        <is>
          <t>報表 Statement</t>
        </is>
      </c>
      <c r="B4" s="8" t="inlineStr">
        <is>
          <t>科目 Item</t>
        </is>
      </c>
      <c r="C4" s="8" t="inlineStr">
        <is>
          <t>本年 Current</t>
        </is>
      </c>
      <c r="D4" s="8" t="inlineStr">
        <is>
          <t>上年 Prior</t>
        </is>
      </c>
      <c r="E4" s="8" t="inlineStr">
        <is>
          <t>變動 YoY %</t>
        </is>
      </c>
      <c r="F4" s="8" t="inlineStr">
        <is>
          <t>來源頁</t>
        </is>
      </c>
      <c r="G4" s="8" t="inlineStr">
        <is>
          <t>原文行 Source line</t>
        </is>
      </c>
    </row>
    <row r="5">
      <c r="A5" s="9" t="inlineStr">
        <is>
          <t>Income Statement</t>
        </is>
      </c>
      <c r="B5" s="9" t="inlineStr">
        <is>
          <t>Revenue</t>
        </is>
      </c>
      <c r="C5" s="13" t="n">
        <v>228827</v>
      </c>
      <c r="D5" s="14" t="n">
        <v>238977</v>
      </c>
      <c r="E5" s="15">
        <f>IF(ISERROR((C5-D5)/ABS(D5)),"",(C5-D5)/ABS(D5))</f>
        <v>-0.042472706578457343</v>
      </c>
      <c r="F5" s="12" t="inlineStr">
        <is>
          <t>PDF p.122 (印刷頁 121)</t>
        </is>
      </c>
      <c r="G5" s="12" t="inlineStr">
        <is>
          <t>Revenue 收入 5 228,827 238,977</t>
        </is>
      </c>
    </row>
    <row r="6">
      <c r="A6" s="9" t="inlineStr">
        <is>
          <t>Income Statement</t>
        </is>
      </c>
      <c r="B6" s="9" t="inlineStr">
        <is>
          <t>Cost of Sales</t>
        </is>
      </c>
      <c r="C6" s="13" t="n">
        <v>-131510</v>
      </c>
      <c r="D6" s="14" t="n">
        <v>-142599</v>
      </c>
      <c r="E6" s="15">
        <f>IF(ISERROR((C6-D6)/ABS(D6)),"",(C6-D6)/ABS(D6))</f>
        <v>0.0777635186782516</v>
      </c>
      <c r="F6" s="12" t="inlineStr">
        <is>
          <t>PDF p.122 (印刷頁 121)</t>
        </is>
      </c>
      <c r="G6" s="12" t="inlineStr">
        <is>
          <t>Cost of sales 銷售成本 (131,510) (142,599)</t>
        </is>
      </c>
    </row>
    <row r="7">
      <c r="A7" s="9" t="inlineStr">
        <is>
          <t>Income Statement</t>
        </is>
      </c>
      <c r="B7" s="9" t="inlineStr">
        <is>
          <t>Gross Profit</t>
        </is>
      </c>
      <c r="C7" s="13" t="n">
        <v>97317</v>
      </c>
      <c r="D7" s="14" t="n">
        <v>96378</v>
      </c>
      <c r="E7" s="15">
        <f>IF(ISERROR((C7-D7)/ABS(D7)),"",(C7-D7)/ABS(D7))</f>
        <v>0.009742887380937558</v>
      </c>
      <c r="F7" s="12" t="inlineStr">
        <is>
          <t>PDF p.122 (印刷頁 121)</t>
        </is>
      </c>
      <c r="G7" s="12" t="inlineStr">
        <is>
          <t>Gross profit 毛利 97,317 96,378</t>
        </is>
      </c>
    </row>
    <row r="8">
      <c r="A8" s="9" t="inlineStr">
        <is>
          <t>Income Statement</t>
        </is>
      </c>
      <c r="B8" s="9" t="inlineStr">
        <is>
          <t>Operating Profit</t>
        </is>
      </c>
      <c r="C8" s="13" t="n">
        <v>36184</v>
      </c>
      <c r="D8" s="14" t="n">
        <v>-62977</v>
      </c>
      <c r="E8" s="15">
        <f>IF(ISERROR((C8-D8)/ABS(D8)),"",(C8-D8)/ABS(D8))</f>
        <v>1.5745589659717039</v>
      </c>
      <c r="F8" s="12" t="inlineStr">
        <is>
          <t>PDF p.122 (印刷頁 121)</t>
        </is>
      </c>
      <c r="G8" s="12" t="inlineStr">
        <is>
          <t>Operating profit/(loss) 經營利潤╱（虧損） 36,184 (62,977)</t>
        </is>
      </c>
    </row>
    <row r="9">
      <c r="A9" s="9" t="inlineStr">
        <is>
          <t>Income Statement</t>
        </is>
      </c>
      <c r="B9" s="9" t="inlineStr">
        <is>
          <t>Finance Costs</t>
        </is>
      </c>
      <c r="C9" s="13" t="n">
        <v>-8435</v>
      </c>
      <c r="D9" s="14" t="n">
        <v>-9144</v>
      </c>
      <c r="E9" s="15">
        <f>IF(ISERROR((C9-D9)/ABS(D9)),"",(C9-D9)/ABS(D9))</f>
        <v>0.07753718285214348</v>
      </c>
      <c r="F9" s="12" t="inlineStr">
        <is>
          <t>PDF p.122 (印刷頁 121)</t>
        </is>
      </c>
      <c r="G9" s="12" t="inlineStr">
        <is>
          <t>Finance costs 財務成本 9 (8,435) (9,144)</t>
        </is>
      </c>
    </row>
    <row r="10">
      <c r="A10" s="9" t="inlineStr">
        <is>
          <t>Income Statement</t>
        </is>
      </c>
      <c r="B10" s="9" t="inlineStr">
        <is>
          <t>Profit Before Tax</t>
        </is>
      </c>
      <c r="C10" s="13" t="n">
        <v>27749</v>
      </c>
      <c r="D10" s="14" t="n">
        <v>-72121</v>
      </c>
      <c r="E10" s="15">
        <f>IF(ISERROR((C10-D10)/ABS(D10)),"",(C10-D10)/ABS(D10))</f>
        <v>1.3847561736526115</v>
      </c>
      <c r="F10" s="12" t="inlineStr">
        <is>
          <t>PDF p.122 (印刷頁 121)</t>
        </is>
      </c>
      <c r="G10" s="12" t="inlineStr">
        <is>
          <t>Profit/(loss) before income tax 扣除所得稅前利潤╱（虧損） 10 27,749 (72,121)</t>
        </is>
      </c>
    </row>
    <row r="11">
      <c r="A11" s="9" t="inlineStr">
        <is>
          <t>Income Statement</t>
        </is>
      </c>
      <c r="B11" s="9" t="inlineStr">
        <is>
          <t>Income Tax</t>
        </is>
      </c>
      <c r="C11" s="13" t="n">
        <v>-727</v>
      </c>
      <c r="D11" s="14" t="n">
        <v>-1689</v>
      </c>
      <c r="E11" s="15">
        <f>IF(ISERROR((C11-D11)/ABS(D11)),"",(C11-D11)/ABS(D11))</f>
        <v>0.5695677915926584</v>
      </c>
      <c r="F11" s="12" t="inlineStr">
        <is>
          <t>PDF p.122 (印刷頁 121)</t>
        </is>
      </c>
      <c r="G11" s="12" t="inlineStr">
        <is>
          <t>Income tax expense 所得稅開支 11 (727) (1,689)</t>
        </is>
      </c>
    </row>
    <row r="12">
      <c r="A12" s="9" t="inlineStr">
        <is>
          <t>Income Statement</t>
        </is>
      </c>
      <c r="B12" s="9" t="inlineStr">
        <is>
          <t>Profit for the Year</t>
        </is>
      </c>
      <c r="C12" s="13" t="n">
        <v>27022</v>
      </c>
      <c r="D12" s="14" t="n">
        <v>-73810</v>
      </c>
      <c r="E12" s="15">
        <f>IF(ISERROR((C12-D12)/ABS(D12)),"",(C12-D12)/ABS(D12))</f>
        <v>1.3661021541796505</v>
      </c>
      <c r="F12" s="12" t="inlineStr">
        <is>
          <t>PDF p.122 (印刷頁 121)</t>
        </is>
      </c>
      <c r="G12" s="12" t="inlineStr">
        <is>
          <t>Profit/(loss) for the year 年度利潤╱（虧損） 27,022 (73,810)</t>
        </is>
      </c>
    </row>
    <row r="13">
      <c r="A13" s="9" t="inlineStr">
        <is>
          <t>Balance Sheet</t>
        </is>
      </c>
      <c r="B13" s="9" t="inlineStr">
        <is>
          <t>Property Plant and Equipment</t>
        </is>
      </c>
      <c r="C13" s="13" t="n">
        <v>12864</v>
      </c>
      <c r="D13" s="14" t="n">
        <v>8003</v>
      </c>
      <c r="E13" s="15">
        <f>IF(ISERROR((C13-D13)/ABS(D13)),"",(C13-D13)/ABS(D13))</f>
        <v>0.6073972260402349</v>
      </c>
      <c r="F13" s="12" t="inlineStr">
        <is>
          <t>PDF p.124 (印刷頁 123)</t>
        </is>
      </c>
      <c r="G13" s="12" t="inlineStr">
        <is>
          <t>Property, plant and equipment 物業、廠房及設備 13 12,864 8,003</t>
        </is>
      </c>
    </row>
    <row r="14">
      <c r="A14" s="9" t="inlineStr">
        <is>
          <t>Balance Sheet</t>
        </is>
      </c>
      <c r="B14" s="9" t="inlineStr">
        <is>
          <t>Investment Properties</t>
        </is>
      </c>
      <c r="C14" s="13" t="n">
        <v>121000</v>
      </c>
      <c r="D14" s="14" t="n">
        <v>123500</v>
      </c>
      <c r="E14" s="15">
        <f>IF(ISERROR((C14-D14)/ABS(D14)),"",(C14-D14)/ABS(D14))</f>
        <v>-0.020242914979757085</v>
      </c>
      <c r="F14" s="12" t="inlineStr">
        <is>
          <t>PDF p.124 (印刷頁 123)</t>
        </is>
      </c>
      <c r="G14" s="12" t="inlineStr">
        <is>
          <t>Investment properties 投資物業 14 121,000 123,500</t>
        </is>
      </c>
    </row>
    <row r="15">
      <c r="A15" s="9" t="inlineStr">
        <is>
          <t>Balance Sheet</t>
        </is>
      </c>
      <c r="B15" s="9" t="inlineStr">
        <is>
          <t>Intangible Assets</t>
        </is>
      </c>
      <c r="C15" s="13" t="n">
        <v>22548</v>
      </c>
      <c r="D15" s="14" t="n">
        <v>22937</v>
      </c>
      <c r="E15" s="15">
        <f>IF(ISERROR((C15-D15)/ABS(D15)),"",(C15-D15)/ABS(D15))</f>
        <v>-0.01695949775471945</v>
      </c>
      <c r="F15" s="12" t="inlineStr">
        <is>
          <t>PDF p.124 (印刷頁 123)</t>
        </is>
      </c>
      <c r="G15" s="12" t="inlineStr">
        <is>
          <t>Intangible assets 無形資產 16 22,548 22,937</t>
        </is>
      </c>
    </row>
    <row r="16">
      <c r="A16" s="9" t="inlineStr">
        <is>
          <t>Balance Sheet</t>
        </is>
      </c>
      <c r="B16" s="9" t="inlineStr">
        <is>
          <t>Inventories</t>
        </is>
      </c>
      <c r="C16" s="13" t="n">
        <v>7083</v>
      </c>
      <c r="D16" s="14" t="n">
        <v>3361</v>
      </c>
      <c r="E16" s="15">
        <f>IF(ISERROR((C16-D16)/ABS(D16)),"",(C16-D16)/ABS(D16))</f>
        <v>1.1074085093722106</v>
      </c>
      <c r="F16" s="12" t="inlineStr">
        <is>
          <t>PDF p.124 (印刷頁 123)</t>
        </is>
      </c>
      <c r="G16" s="12" t="inlineStr">
        <is>
          <t>Inventories 存貨 19 7,083 3,361</t>
        </is>
      </c>
    </row>
    <row r="17">
      <c r="A17" s="9" t="inlineStr">
        <is>
          <t>Balance Sheet</t>
        </is>
      </c>
      <c r="B17" s="9" t="inlineStr">
        <is>
          <t>Cash and Equivalents</t>
        </is>
      </c>
      <c r="C17" s="13" t="n">
        <v>29608</v>
      </c>
      <c r="D17" s="14" t="n">
        <v>21898</v>
      </c>
      <c r="E17" s="15">
        <f>IF(ISERROR((C17-D17)/ABS(D17)),"",(C17-D17)/ABS(D17))</f>
        <v>0.35208694857977896</v>
      </c>
      <c r="F17" s="12" t="inlineStr">
        <is>
          <t>PDF p.124 (印刷頁 123)</t>
        </is>
      </c>
      <c r="G17" s="12" t="inlineStr">
        <is>
          <t>Cash and cash equivalents 現金及現金等價物 27 29,608 21,898</t>
        </is>
      </c>
    </row>
    <row r="18">
      <c r="A18" s="9" t="inlineStr">
        <is>
          <t>Balance Sheet</t>
        </is>
      </c>
      <c r="B18" s="9" t="inlineStr">
        <is>
          <t>Total Assets</t>
        </is>
      </c>
      <c r="C18" s="13" t="n">
        <v>669872</v>
      </c>
      <c r="D18" s="14" t="n">
        <v>559694</v>
      </c>
      <c r="E18" s="15">
        <f>IF(ISERROR((C18-D18)/ABS(D18)),"",(C18-D18)/ABS(D18))</f>
        <v>0.196853995218816</v>
      </c>
      <c r="F18" s="12" t="inlineStr">
        <is>
          <t>PDF p.124 (印刷頁 123)</t>
        </is>
      </c>
      <c r="G18" s="12" t="inlineStr">
        <is>
          <t>Total assets 資產總額 669,872 559,694</t>
        </is>
      </c>
    </row>
    <row r="19">
      <c r="A19" s="9" t="inlineStr">
        <is>
          <t>Balance Sheet</t>
        </is>
      </c>
      <c r="B19" s="9" t="inlineStr">
        <is>
          <t>Total Equity</t>
        </is>
      </c>
      <c r="C19" s="13" t="n">
        <v>215349</v>
      </c>
      <c r="D19" s="14" t="n">
        <v>192914</v>
      </c>
      <c r="E19" s="15">
        <f>IF(ISERROR((C19-D19)/ABS(D19)),"",(C19-D19)/ABS(D19))</f>
        <v>0.11629534403931285</v>
      </c>
      <c r="F19" s="12" t="inlineStr">
        <is>
          <t>PDF p.124 (印刷頁 123)</t>
        </is>
      </c>
      <c r="G19" s="12" t="inlineStr">
        <is>
          <t>Total equity attributable to owners of 本公司擁有人應佔權益總額 … the Company 215,349 192,914</t>
        </is>
      </c>
    </row>
    <row r="20">
      <c r="A20" s="9" t="inlineStr">
        <is>
          <t>Balance Sheet</t>
        </is>
      </c>
      <c r="B20" s="9" t="inlineStr">
        <is>
          <t>Borrowings</t>
        </is>
      </c>
      <c r="C20" s="13" t="n">
        <v>81168</v>
      </c>
      <c r="D20" s="14" t="n">
        <v>27000</v>
      </c>
      <c r="E20" s="15">
        <f>IF(ISERROR((C20-D20)/ABS(D20)),"",(C20-D20)/ABS(D20))</f>
        <v>2.006222222222222</v>
      </c>
      <c r="F20" s="12" t="inlineStr">
        <is>
          <t>PDF p.125 (印刷頁 124)</t>
        </is>
      </c>
      <c r="G20" s="12" t="inlineStr">
        <is>
          <t>Borrowings 借貸 34 81,168 27,000</t>
        </is>
      </c>
    </row>
    <row r="21">
      <c r="A21" s="9" t="inlineStr">
        <is>
          <t>Balance Sheet</t>
        </is>
      </c>
      <c r="B21" s="9" t="inlineStr">
        <is>
          <t>Total Liabilities</t>
        </is>
      </c>
      <c r="C21" s="13" t="n">
        <v>423328</v>
      </c>
      <c r="D21" s="14" t="n">
        <v>361560</v>
      </c>
      <c r="E21" s="15">
        <f>IF(ISERROR((C21-D21)/ABS(D21)),"",(C21-D21)/ABS(D21))</f>
        <v>0.1708374820223476</v>
      </c>
      <c r="F21" s="12" t="inlineStr">
        <is>
          <t>PDF p.125 (印刷頁 124)</t>
        </is>
      </c>
      <c r="G21" s="12" t="inlineStr">
        <is>
          <t>Total liabilities 負債總額 423,328 361,560</t>
        </is>
      </c>
    </row>
    <row r="22">
      <c r="A22" s="9" t="inlineStr">
        <is>
          <t>Balance Sheet</t>
        </is>
      </c>
      <c r="B22" s="9" t="inlineStr">
        <is>
          <t>Total Current Assets</t>
        </is>
      </c>
      <c r="C22" s="13" t="n">
        <v>485908</v>
      </c>
      <c r="D22" s="14" t="n">
        <v>361280</v>
      </c>
      <c r="E22" s="15">
        <f>IF(ISERROR((C22-D22)/ABS(D22)),"",(C22-D22)/ABS(D22))</f>
        <v>0.34496235606731623</v>
      </c>
      <c r="F22" s="12" t="inlineStr">
        <is>
          <t>PDF p.124 (印刷頁 123)</t>
        </is>
      </c>
      <c r="G22" s="12" t="inlineStr">
        <is>
          <t>[current assets 區段小計] 485,908 361,280</t>
        </is>
      </c>
    </row>
    <row r="23">
      <c r="A23" s="9" t="inlineStr">
        <is>
          <t>Balance Sheet</t>
        </is>
      </c>
      <c r="B23" s="9" t="inlineStr">
        <is>
          <t>Total Current Liabilities</t>
        </is>
      </c>
      <c r="C23" s="13" t="n">
        <v>338176</v>
      </c>
      <c r="D23" s="14" t="n">
        <v>328571</v>
      </c>
      <c r="E23" s="15">
        <f>IF(ISERROR((C23-D23)/ABS(D23)),"",(C23-D23)/ABS(D23))</f>
        <v>0.02923264682519151</v>
      </c>
      <c r="F23" s="12" t="inlineStr">
        <is>
          <t>PDF p.125 (印刷頁 124)</t>
        </is>
      </c>
      <c r="G23" s="12" t="inlineStr">
        <is>
          <t>[current liabilities 區段小計] 338,176 328,571</t>
        </is>
      </c>
    </row>
    <row r="24">
      <c r="A24" s="9" t="inlineStr">
        <is>
          <t>Cash Flow</t>
        </is>
      </c>
      <c r="B24" s="9" t="inlineStr">
        <is>
          <t>Operating Cash Flow</t>
        </is>
      </c>
      <c r="C24" s="13" t="n">
        <v>141510</v>
      </c>
      <c r="D24" s="14" t="n">
        <v>1089</v>
      </c>
      <c r="E24" s="15">
        <f>IF(ISERROR((C24-D24)/ABS(D24)),"",(C24-D24)/ABS(D24))</f>
        <v>128.94490358126723</v>
      </c>
      <c r="F24" s="12" t="inlineStr">
        <is>
          <t>PDF p.128 (印刷頁 127)</t>
        </is>
      </c>
      <c r="G24" s="12" t="inlineStr">
        <is>
          <t>Cash generated from operations 經營產生的現金 38(a) 141,510 1,089</t>
        </is>
      </c>
    </row>
    <row r="25">
      <c r="A25" s="9" t="inlineStr">
        <is>
          <t>Cash Flow</t>
        </is>
      </c>
      <c r="B25" s="9" t="inlineStr">
        <is>
          <t>Financing Cash Flow</t>
        </is>
      </c>
      <c r="C25" s="13" t="n">
        <v>-16413</v>
      </c>
      <c r="D25" s="14" t="n">
        <v>-52805</v>
      </c>
      <c r="E25" s="15">
        <f>IF(ISERROR((C25-D25)/ABS(D25)),"",(C25-D25)/ABS(D25))</f>
        <v>0.6891771612536691</v>
      </c>
      <c r="F25" s="12" t="inlineStr">
        <is>
          <t>PDF p.129 (印刷頁 128)</t>
        </is>
      </c>
      <c r="G25" s="12" t="inlineStr">
        <is>
          <t>Net cash flows used in financing activities 融資活動使用的現金流量 … 淨額 (16,413) (52,805)</t>
        </is>
      </c>
    </row>
    <row r="27">
      <c r="A27"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8" t="inlineStr">
        <is>
          <t>比率 Ratio</t>
        </is>
      </c>
      <c r="B4" s="8" t="inlineStr">
        <is>
          <t>本年 Current</t>
        </is>
      </c>
      <c r="C4" s="8" t="inlineStr">
        <is>
          <t>上年 Prior</t>
        </is>
      </c>
      <c r="D4" s="8" t="inlineStr">
        <is>
          <t>說明</t>
        </is>
      </c>
    </row>
    <row r="5">
      <c r="A5" s="4" t="inlineStr">
        <is>
          <t>Gross Margin 毛利率</t>
        </is>
      </c>
      <c r="B5" s="16">
        <f>IF(ISERROR(INDEX('Financials 財務數據'!$C$5:$C$25,MATCH("Gross Profit",'Financials 財務數據'!$B$5:$B$25,0))/INDEX('Financials 財務數據'!$C$5:$C$25,MATCH("Revenue",'Financials 財務數據'!$B$5:$B$25,0))),"n/a",INDEX('Financials 財務數據'!$C$5:$C$25,MATCH("Gross Profit",'Financials 財務數據'!$B$5:$B$25,0))/INDEX('Financials 財務數據'!$C$5:$C$25,MATCH("Revenue",'Financials 財務數據'!$B$5:$B$25,0)))</f>
        <v>0.42528635169800766</v>
      </c>
      <c r="C5" s="16">
        <f>IF(ISERROR(INDEX('Financials 財務數據'!$D$5:$D$25,MATCH("Gross Profit",'Financials 財務數據'!$B$5:$B$25,0))/INDEX('Financials 財務數據'!$D$5:$D$25,MATCH("Revenue",'Financials 財務數據'!$B$5:$B$25,0))),"n/a",INDEX('Financials 財務數據'!$D$5:$D$25,MATCH("Gross Profit",'Financials 財務數據'!$B$5:$B$25,0))/INDEX('Financials 財務數據'!$D$5:$D$25,MATCH("Revenue",'Financials 財務數據'!$B$5:$B$25,0)))</f>
        <v>0.40329404084911935</v>
      </c>
      <c r="D5" s="2" t="inlineStr">
        <is>
          <t>毛利 ÷ 收入</t>
        </is>
      </c>
    </row>
    <row r="6">
      <c r="A6" s="4" t="inlineStr">
        <is>
          <t>Net Margin 淨利率</t>
        </is>
      </c>
      <c r="B6" s="16">
        <f>IF(ISERROR(INDEX('Financials 財務數據'!$C$5:$C$25,MATCH("Profit for the Year",'Financials 財務數據'!$B$5:$B$25,0))/INDEX('Financials 財務數據'!$C$5:$C$25,MATCH("Revenue",'Financials 財務數據'!$B$5:$B$25,0))),"n/a",INDEX('Financials 財務數據'!$C$5:$C$25,MATCH("Profit for the Year",'Financials 財務數據'!$B$5:$B$25,0))/INDEX('Financials 財務數據'!$C$5:$C$25,MATCH("Revenue",'Financials 財務數據'!$B$5:$B$25,0)))</f>
        <v>0.11808921150039113</v>
      </c>
      <c r="C6" s="16">
        <f>IF(ISERROR(INDEX('Financials 財務數據'!$D$5:$D$25,MATCH("Profit for the Year",'Financials 財務數據'!$B$5:$B$25,0))/INDEX('Financials 財務數據'!$D$5:$D$25,MATCH("Revenue",'Financials 財務數據'!$B$5:$B$25,0))),"n/a",INDEX('Financials 財務數據'!$D$5:$D$25,MATCH("Profit for the Year",'Financials 財務數據'!$B$5:$B$25,0))/INDEX('Financials 財務數據'!$D$5:$D$25,MATCH("Revenue",'Financials 財務數據'!$B$5:$B$25,0)))</f>
        <v>-0.30885817463605286</v>
      </c>
      <c r="D6" s="2" t="inlineStr">
        <is>
          <t>年內溢利 ÷ 收入</t>
        </is>
      </c>
    </row>
    <row r="7">
      <c r="A7" s="4" t="inlineStr">
        <is>
          <t>Current Ratio 流動比率</t>
        </is>
      </c>
      <c r="B7" s="17">
        <f>IF(ISERROR(INDEX('Financials 財務數據'!$C$5:$C$25,MATCH("Total Current Assets",'Financials 財務數據'!$B$5:$B$25,0))/INDEX('Financials 財務數據'!$C$5:$C$25,MATCH("Total Current Liabilities",'Financials 財務數據'!$B$5:$B$25,0))),"n/a",INDEX('Financials 財務數據'!$C$5:$C$25,MATCH("Total Current Assets",'Financials 財務數據'!$B$5:$B$25,0))/INDEX('Financials 財務數據'!$C$5:$C$25,MATCH("Total Current Liabilities",'Financials 財務數據'!$B$5:$B$25,0)))</f>
        <v>1.4368494511733536</v>
      </c>
      <c r="C7" s="17">
        <f>IF(ISERROR(INDEX('Financials 財務數據'!$D$5:$D$25,MATCH("Total Current Assets",'Financials 財務數據'!$B$5:$B$25,0))/INDEX('Financials 財務數據'!$D$5:$D$25,MATCH("Total Current Liabilities",'Financials 財務數據'!$B$5:$B$25,0))),"n/a",INDEX('Financials 財務數據'!$D$5:$D$25,MATCH("Total Current Assets",'Financials 財務數據'!$B$5:$B$25,0))/INDEX('Financials 財務數據'!$D$5:$D$25,MATCH("Total Current Liabilities",'Financials 財務數據'!$B$5:$B$25,0)))</f>
        <v>1.099549260281644</v>
      </c>
      <c r="D7" s="2" t="inlineStr">
        <is>
          <t>流動資產 ÷ 流動負債</t>
        </is>
      </c>
    </row>
    <row r="8">
      <c r="A8" s="4" t="inlineStr">
        <is>
          <t>Debt / Equity 負債權益比</t>
        </is>
      </c>
      <c r="B8" s="17">
        <f>IF(ISERROR(INDEX('Financials 財務數據'!$C$5:$C$25,MATCH("Total Liabilities",'Financials 財務數據'!$B$5:$B$25,0))/INDEX('Financials 財務數據'!$C$5:$C$25,MATCH("Total Equity",'Financials 財務數據'!$B$5:$B$25,0))),"n/a",INDEX('Financials 財務數據'!$C$5:$C$25,MATCH("Total Liabilities",'Financials 財務數據'!$B$5:$B$25,0))/INDEX('Financials 財務數據'!$C$5:$C$25,MATCH("Total Equity",'Financials 財務數據'!$B$5:$B$25,0)))</f>
        <v>1.965776483754278</v>
      </c>
      <c r="C8" s="17">
        <f>IF(ISERROR(INDEX('Financials 財務數據'!$D$5:$D$25,MATCH("Total Liabilities",'Financials 財務數據'!$B$5:$B$25,0))/INDEX('Financials 財務數據'!$D$5:$D$25,MATCH("Total Equity",'Financials 財務數據'!$B$5:$B$25,0))),"n/a",INDEX('Financials 財務數據'!$D$5:$D$25,MATCH("Total Liabilities",'Financials 財務數據'!$B$5:$B$25,0))/INDEX('Financials 財務數據'!$D$5:$D$25,MATCH("Total Equity",'Financials 財務數據'!$B$5:$B$25,0)))</f>
        <v>1.8742030127414289</v>
      </c>
      <c r="D8" s="2" t="inlineStr">
        <is>
          <t>總負債 ÷ 總權益</t>
        </is>
      </c>
    </row>
    <row r="9">
      <c r="A9" s="4" t="inlineStr">
        <is>
          <t>Goodwill / Total Assets</t>
        </is>
      </c>
      <c r="B9" s="16" t="str">
        <f>IF(ISERROR(INDEX('Financials 財務數據'!$C$5:$C$25,MATCH("Goodwill",'Financials 財務數據'!$B$5:$B$25,0))/INDEX('Financials 財務數據'!$C$5:$C$25,MATCH("Total Assets",'Financials 財務數據'!$B$5:$B$25,0))),"n/a",INDEX('Financials 財務數據'!$C$5:$C$25,MATCH("Goodwill",'Financials 財務數據'!$B$5:$B$25,0))/INDEX('Financials 財務數據'!$C$5:$C$25,MATCH("Total Assets",'Financials 財務數據'!$B$5:$B$25,0)))</f>
        <v>n/a</v>
      </c>
      <c r="C9" s="16" t="str">
        <f>IF(ISERROR(INDEX('Financials 財務數據'!$D$5:$D$25,MATCH("Goodwill",'Financials 財務數據'!$B$5:$B$25,0))/INDEX('Financials 財務數據'!$D$5:$D$25,MATCH("Total Assets",'Financials 財務數據'!$B$5:$B$25,0))),"n/a",INDEX('Financials 財務數據'!$D$5:$D$25,MATCH("Goodwill",'Financials 財務數據'!$B$5:$B$25,0))/INDEX('Financials 財務數據'!$D$5:$D$25,MATCH("Total Assets",'Financials 財務數據'!$B$5:$B$25,0)))</f>
        <v>n/a</v>
      </c>
      <c r="D9" s="2" t="inlineStr">
        <is>
          <t>商譽佔總資產比重 — 減值風險指標</t>
        </is>
      </c>
    </row>
    <row r="10">
      <c r="A10" s="4" t="inlineStr">
        <is>
          <t>Intangibles / Total Assets</t>
        </is>
      </c>
      <c r="B10" s="16">
        <f>IF(ISERROR(INDEX('Financials 財務數據'!$C$5:$C$25,MATCH("Intangible Assets",'Financials 財務數據'!$B$5:$B$25,0))/INDEX('Financials 財務數據'!$C$5:$C$25,MATCH("Total Assets",'Financials 財務數據'!$B$5:$B$25,0))),"n/a",INDEX('Financials 財務數據'!$C$5:$C$25,MATCH("Intangible Assets",'Financials 財務數據'!$B$5:$B$25,0))/INDEX('Financials 財務數據'!$C$5:$C$25,MATCH("Total Assets",'Financials 財務數據'!$B$5:$B$25,0)))</f>
        <v>0.03366016194138582</v>
      </c>
      <c r="C10" s="16">
        <f>IF(ISERROR(INDEX('Financials 財務數據'!$D$5:$D$25,MATCH("Intangible Assets",'Financials 財務數據'!$B$5:$B$25,0))/INDEX('Financials 財務數據'!$D$5:$D$25,MATCH("Total Assets",'Financials 財務數據'!$B$5:$B$25,0))),"n/a",INDEX('Financials 財務數據'!$D$5:$D$25,MATCH("Intangible Assets",'Financials 財務數據'!$B$5:$B$25,0))/INDEX('Financials 財務數據'!$D$5:$D$25,MATCH("Total Assets",'Financials 財務數據'!$B$5:$B$25,0)))</f>
        <v>0.04098132193662966</v>
      </c>
      <c r="D10" s="2" t="inlineStr">
        <is>
          <t>無形資產佔比</t>
        </is>
      </c>
    </row>
    <row r="11">
      <c r="A11" s="4" t="inlineStr">
        <is>
          <t>ROE 股本回報率</t>
        </is>
      </c>
      <c r="B11" s="16">
        <f>IF(ISERROR(INDEX('Financials 財務數據'!$C$5:$C$25,MATCH("Profit for the Year",'Financials 財務數據'!$B$5:$B$25,0))/INDEX('Financials 財務數據'!$C$5:$C$25,MATCH("Total Equity",'Financials 財務數據'!$B$5:$B$25,0))),"n/a",INDEX('Financials 財務數據'!$C$5:$C$25,MATCH("Profit for the Year",'Financials 財務數據'!$B$5:$B$25,0))/INDEX('Financials 財務數據'!$C$5:$C$25,MATCH("Total Equity",'Financials 財務數據'!$B$5:$B$25,0)))</f>
        <v>0.125480034734315</v>
      </c>
      <c r="C11" s="16">
        <f>IF(ISERROR(INDEX('Financials 財務數據'!$D$5:$D$25,MATCH("Profit for the Year",'Financials 財務數據'!$B$5:$B$25,0))/INDEX('Financials 財務數據'!$D$5:$D$25,MATCH("Total Equity",'Financials 財務數據'!$B$5:$B$25,0))),"n/a",INDEX('Financials 財務數據'!$D$5:$D$25,MATCH("Profit for the Year",'Financials 財務數據'!$B$5:$B$25,0))/INDEX('Financials 財務數據'!$D$5:$D$25,MATCH("Total Equity",'Financials 財務數據'!$B$5:$B$25,0)))</f>
        <v>-0.38260572068382803</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8" t="inlineStr">
        <is>
          <t>Item</t>
        </is>
      </c>
      <c r="B4" s="18" t="inlineStr">
        <is>
          <t>Prior</t>
        </is>
      </c>
      <c r="C4" s="18" t="inlineStr">
        <is>
          <t>Current</t>
        </is>
      </c>
    </row>
    <row r="5">
      <c r="A5" s="4" t="inlineStr">
        <is>
          <t>Revenue</t>
        </is>
      </c>
      <c r="B5" s="19" t="n">
        <v>238977</v>
      </c>
      <c r="C5" s="19" t="n">
        <v>228827</v>
      </c>
    </row>
    <row r="6">
      <c r="A6" s="4" t="inlineStr">
        <is>
          <t>Gross Profit</t>
        </is>
      </c>
      <c r="B6" s="19" t="n">
        <v>96378</v>
      </c>
      <c r="C6" s="19" t="n">
        <v>97317</v>
      </c>
    </row>
    <row r="7">
      <c r="A7" s="4" t="inlineStr">
        <is>
          <t>Profit Before Tax</t>
        </is>
      </c>
      <c r="B7" s="19" t="n">
        <v>-72121</v>
      </c>
      <c r="C7" s="19" t="n">
        <v>27749</v>
      </c>
    </row>
    <row r="8">
      <c r="A8" s="4" t="inlineStr">
        <is>
          <t>Profit for the Year</t>
        </is>
      </c>
      <c r="B8" s="19" t="n">
        <v>-73810</v>
      </c>
      <c r="C8" s="19" t="n">
        <v>27022</v>
      </c>
    </row>
    <row r="9">
      <c r="A9" s="4" t="inlineStr">
        <is>
          <t>Total Assets</t>
        </is>
      </c>
      <c r="B9" s="19" t="n">
        <v>559694</v>
      </c>
      <c r="C9" s="19" t="n">
        <v>669872</v>
      </c>
    </row>
    <row r="10">
      <c r="A10" s="4" t="inlineStr">
        <is>
          <t>Total Equity</t>
        </is>
      </c>
      <c r="B10" s="19" t="n">
        <v>192914</v>
      </c>
      <c r="C10" s="19" t="n">
        <v>215349</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158"/>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8" t="inlineStr">
        <is>
          <t>主題 Topic</t>
        </is>
      </c>
      <c r="B3" s="8" t="inlineStr">
        <is>
          <t>中文</t>
        </is>
      </c>
      <c r="C3" s="8" t="inlineStr">
        <is>
          <t>優先</t>
        </is>
      </c>
      <c r="D3" s="8" t="inlineStr">
        <is>
          <t>命中詞</t>
        </is>
      </c>
      <c r="E3" s="8" t="inlineStr">
        <is>
          <t>來源頁</t>
        </is>
      </c>
      <c r="F3" s="8" t="inlineStr">
        <is>
          <t>段落 Snippet</t>
        </is>
      </c>
    </row>
    <row r="4">
      <c r="A4" s="9" t="inlineStr">
        <is>
          <t>Fair Value Measurement</t>
        </is>
      </c>
      <c r="B4" s="9" t="inlineStr">
        <is>
          <t>公允價值計量</t>
        </is>
      </c>
      <c r="C4" s="20" t="inlineStr">
        <is>
          <t>high</t>
        </is>
      </c>
      <c r="D4" s="12" t="inlineStr">
        <is>
          <t>valuation technique</t>
        </is>
      </c>
      <c r="E4" s="12" t="inlineStr">
        <is>
          <t>PDF p.134 (印刷頁 133)</t>
        </is>
      </c>
      <c r="F4" s="12" t="inlineStr">
        <is>
          <t>measurement date, 的價格或轉讓負債時將支付的價 regardless of whether that price is directly observable or 格，而不論該價格是否可直接觀察 estimated using another valuation technique. In 得到，或利用其他估價方法估計得 estimating the fair value of an asset or a liability, the 到。於估計資產或負債的公平值 Group takes into account the characteristics of the asset 時，本集團會考慮市場參與者於計 or liability if market participants would take those 量日期為資產或負債定價時會考慮 characteristics into account when pricing the asset or 的資產或負債的特點。就合併財務 liability at the measurement date. Fair value for 報表計量及╱或披露目的而言之公 measure</t>
        </is>
      </c>
    </row>
    <row r="5">
      <c r="A5" s="9" t="inlineStr">
        <is>
          <t>Fair Value Measurement</t>
        </is>
      </c>
      <c r="B5" s="9" t="inlineStr">
        <is>
          <t>公允價值計量</t>
        </is>
      </c>
      <c r="C5" s="20" t="inlineStr">
        <is>
          <t>high</t>
        </is>
      </c>
      <c r="D5" s="12" t="inlineStr">
        <is>
          <t>level 1</t>
        </is>
      </c>
      <c r="E5" s="12" t="inlineStr">
        <is>
          <t>PDF p.135 (印刷頁 134)</t>
        </is>
      </c>
      <c r="F5" s="12" t="inlineStr">
        <is>
          <t>transaction price. 交易價格。 In addition, for financial reporting purposes, fair value 此外，就財務報告而言，公平值計 measurements are categorised into Level 1, 2 or 3 based 量可按公平值計量之輸入數據可觀 on the degree to which the inputs to the fair value 察程度及公平值計量之輸入數據對 measurements are observable and the significance of the 其整體之重要性劃分為第一、第二 inputs to the fair value measurement in its entirety, which 或第三級，詳述如下： are described as follows: • Level 1 inputs are quoted prices (unadjusted) in • 第一級輸入數據乃實體於計量 active markets for identical assets or liabilities that 日期</t>
        </is>
      </c>
    </row>
    <row r="6">
      <c r="A6" s="9" t="inlineStr">
        <is>
          <t>Fair Value Measurement</t>
        </is>
      </c>
      <c r="B6" s="9" t="inlineStr">
        <is>
          <t>公允價值計量</t>
        </is>
      </c>
      <c r="C6" s="20" t="inlineStr">
        <is>
          <t>high</t>
        </is>
      </c>
      <c r="D6" s="12" t="inlineStr">
        <is>
          <t>level 1</t>
        </is>
      </c>
      <c r="E6" s="12" t="inlineStr">
        <is>
          <t>PDF p.219 (印刷頁 218)</t>
        </is>
      </c>
      <c r="F6" s="12" t="inlineStr">
        <is>
          <t>r 公平值計量分類為第三級公平值層級。 value hierarchy. During the year ended 31 March 2026 and 2025, there are no 截至二零二六年及二零二五年三月三十一 transfers between Level 1 and Level 2, or transfers into or out 日止年度，第一級與第二級之間並無轉 of Level 3. 移，亦無轉入或轉出第三級。 218</t>
        </is>
      </c>
    </row>
    <row r="7">
      <c r="A7" s="9" t="inlineStr">
        <is>
          <t>Fair Value Measurement</t>
        </is>
      </c>
      <c r="B7" s="9" t="inlineStr">
        <is>
          <t>公允價值計量</t>
        </is>
      </c>
      <c r="C7" s="20" t="inlineStr">
        <is>
          <t>high</t>
        </is>
      </c>
      <c r="D7" s="12" t="inlineStr">
        <is>
          <t>fair value hierarchy</t>
        </is>
      </c>
      <c r="E7" s="12" t="inlineStr">
        <is>
          <t>PDF p.220 (印刷頁 219)</t>
        </is>
      </c>
      <c r="F7" s="12" t="inlineStr">
        <is>
          <t>表附註 14 INVESTMENT PROPERTIES 14 投資物業（續） (Continued) The Group’s policy is to recognise transfers between levels of 本集團的政策為於發生轉移的報告期末 fair value hierarchy as at the end of the reporting period in 確認公平值層級之間的轉移。 which they occur. At 31 March 2026, the Group’s investment properties with a net 於二零二六年三月三十一日，本集團賬面 carrying amount of HK$121,000,000 (2025: HK$123,500,000) 淨值為121,000,000港元（二零二五年： were pledged to secure other borrowings granted to the Group 123,500,000港元）之投資物業已作抵押， (Note 34). 作為本集團獲授其他借貸之擔保（附註 34）。 15 RIGHT-OF-USE ASSETS</t>
        </is>
      </c>
    </row>
    <row r="8">
      <c r="A8" s="9" t="inlineStr">
        <is>
          <t>Fair Value Measurement</t>
        </is>
      </c>
      <c r="B8" s="9" t="inlineStr">
        <is>
          <t>公允價值計量</t>
        </is>
      </c>
      <c r="C8" s="20" t="inlineStr">
        <is>
          <t>high</t>
        </is>
      </c>
      <c r="D8" s="12" t="inlineStr">
        <is>
          <t>level 3</t>
        </is>
      </c>
      <c r="E8" s="12" t="inlineStr">
        <is>
          <t>PDF p.283 (印刷頁 282)</t>
        </is>
      </c>
      <c r="F8" s="12" t="inlineStr">
        <is>
          <t>vable data to the extent it is available. For 的範圍內使用市場可觀察數據。對 instruments with significant unobservable inputs under 於第三級項下具有重大不可觀察輸 Level 3, the Group engages third party qualified valuers 入數據的工具，本集團聘請第三方 to perform the valuation. 合資格估值師進行估值。 282</t>
        </is>
      </c>
    </row>
    <row r="9">
      <c r="A9" s="9" t="inlineStr">
        <is>
          <t>Fair Value Measurement</t>
        </is>
      </c>
      <c r="B9" s="9" t="inlineStr">
        <is>
          <t>公允價值計量</t>
        </is>
      </c>
      <c r="C9" s="20" t="inlineStr">
        <is>
          <t>high</t>
        </is>
      </c>
      <c r="D9" s="12" t="inlineStr">
        <is>
          <t>fair value hierarchy</t>
        </is>
      </c>
      <c r="E9" s="12" t="inlineStr">
        <is>
          <t>PDF p.284 (印刷頁 283)</t>
        </is>
      </c>
      <c r="F9" s="12" t="inlineStr">
        <is>
          <t>) (i) Fair value of the Group’s financial assets (i) 本集團按經常性基準以公 that are measured at fair value on a 平值計量的金融資產的公 recurring basis 平值 Fair value hierarchy and valuation technique of 與場外衍生工具交易無關的 financial instruments other than those relating to 金融工具之公平值層級及估 OTC derivative transactions 值技術 An analysis of the fair value and the valuation 按公平值（按公平值計入損 techniques of financial assets measured at fair value 益，或按公平值計入其他綜合 (through profit or loss, or through other 收入）計量的金融資產的公平 comprehensive income) are as follows: 值及估值技術分析如下： Fair val</t>
        </is>
      </c>
    </row>
    <row r="10">
      <c r="A10" s="9" t="inlineStr">
        <is>
          <t>Fair Value Measurement</t>
        </is>
      </c>
      <c r="B10" s="9" t="inlineStr">
        <is>
          <t>公允價值計量</t>
        </is>
      </c>
      <c r="C10" s="20" t="inlineStr">
        <is>
          <t>high</t>
        </is>
      </c>
      <c r="D10" s="12" t="inlineStr">
        <is>
          <t>fair value hierarchy</t>
        </is>
      </c>
      <c r="E10" s="12" t="inlineStr">
        <is>
          <t>PDF p.285 (印刷頁 284)</t>
        </is>
      </c>
      <c r="F10" s="12" t="inlineStr">
        <is>
          <t>e of the Group’s financial assets (i) 本集團按經常性基準以公 that are measured at fair value on a 平值計量的金融資產的公 recurring basis (Continued) 平值（續） Fair value hierarchy and valuation technique of 與場外衍生工具交易無關的 financial instruments other than those relating to 金融工具之公平值層級及估 OTC derivative transactions (Continued) 值技術（續） Fair value hierarchy as at 31 March 2025 於二零二五年三月三十一日 的公平值層級 Level 1 Level 2 Level 3 Total 第一級 第二級 第三級 總計 HK$’000 HK$’000 HK$’000 HK$’000 千港元 千港元 千港元 千港元 Note 1 Note 2 Note 3 附註1 附註2 附註3 31 March 2025 二零二五年 三月三十一日 Financial asse</t>
        </is>
      </c>
    </row>
    <row r="11">
      <c r="A11" s="9" t="inlineStr">
        <is>
          <t>Fair Value Measurement</t>
        </is>
      </c>
      <c r="B11" s="9" t="inlineStr">
        <is>
          <t>公允價值計量</t>
        </is>
      </c>
      <c r="C11" s="20" t="inlineStr">
        <is>
          <t>high</t>
        </is>
      </c>
      <c r="D11" s="12" t="inlineStr">
        <is>
          <t>fair value hierarchy</t>
        </is>
      </c>
      <c r="E11" s="12" t="inlineStr">
        <is>
          <t>PDF p.286 (印刷頁 285)</t>
        </is>
      </c>
      <c r="F11" s="12" t="inlineStr">
        <is>
          <t>e of the Group’s financial assets (i) 本集團按經常性基準以公 that are measured at fair value on a 平值計量的金融資產的公 recurring basis (Continued) 平值（續） Fair value hierarchy and valuation technique of 與場外衍生工具交易無關的金 financial instruments other than those relating to 融工具之公平值層級及估值技 OTC derivative transactions (Continued) 術（續） Notes: (Continued) 附註：（續） (3) The fair values are determined by using valuation (3) 公平值乃採用估值技術釐定， techniques with one or more of the significant inputs not 且該等估值技術所用之一項或 based on observable market data. Information on Level 3 多項</t>
        </is>
      </c>
    </row>
    <row r="12">
      <c r="A12" s="9" t="inlineStr">
        <is>
          <t>Fair Value Measurement</t>
        </is>
      </c>
      <c r="B12" s="9" t="inlineStr">
        <is>
          <t>公允價值計量</t>
        </is>
      </c>
      <c r="C12" s="20" t="inlineStr">
        <is>
          <t>high</t>
        </is>
      </c>
      <c r="D12" s="12" t="inlineStr">
        <is>
          <t>fair value hierarchy</t>
        </is>
      </c>
      <c r="E12" s="12" t="inlineStr">
        <is>
          <t>PDF p.287 (印刷頁 286)</t>
        </is>
      </c>
      <c r="F12" s="12" t="inlineStr">
        <is>
          <t>e of the Group’s financial assets (i) 本集團按經常性基準以公 that are measured at fair value on a 平值計量的金融資產的公 recurring basis (Continued) 平值（續） Fair value hierarchy and valuation technique of 與場外衍生工具交易無關的金 financial instruments other than those relating to 融工具之公平值層級及估值技 OTC derivative transactions (Continued) 術（續） An increase in the discount rate used in isolation 單獨使用的貼現率上升將導致 would result in a decrease in the fair value 非上市股本投資的公平值計量 measurement of the unlisted equity investments, 下降，反之亦然。倘貼現率上 and vice versa. A 1% increase/decrease in</t>
        </is>
      </c>
    </row>
    <row r="13">
      <c r="A13" s="9" t="inlineStr">
        <is>
          <t>Fair Value Measurement</t>
        </is>
      </c>
      <c r="B13" s="9" t="inlineStr">
        <is>
          <t>公允價值計量</t>
        </is>
      </c>
      <c r="C13" s="20" t="inlineStr">
        <is>
          <t>high</t>
        </is>
      </c>
      <c r="D13" s="12" t="inlineStr">
        <is>
          <t>fair value hierarchy</t>
        </is>
      </c>
      <c r="E13" s="12" t="inlineStr">
        <is>
          <t>PDF p.288 (印刷頁 287)</t>
        </is>
      </c>
      <c r="F13" s="12" t="inlineStr">
        <is>
          <t>e of the Group’s financial assets (i) 本集團按經常性基準以公 that are measured at fair value on a 平值計量的金融資產的公 recurring basis (Continued) 平值（續） Fair value hierarchy and valuation technique of 與場外衍生工具交易無關的金 financial instruments other than those relating to 融工具之公平值層級及估值技 OTC derivative transactions (Continued) 術（續） Reconciliation of Level 3 fair value measurements: 第三級公平值計量之對賬： Year ended 31 March 截至三月三十一日止年度 2026 2025 二零二六年 二零二五年 HK$’000 HK$’000 千港元 千港元 At 1 April 於四月一日 4,887 4,354 Additions 添置 126 2,970 Deemed disposal upon acquisition 於</t>
        </is>
      </c>
    </row>
    <row r="14">
      <c r="A14" s="9" t="inlineStr">
        <is>
          <t>Fair Value Measurement</t>
        </is>
      </c>
      <c r="B14" s="9" t="inlineStr">
        <is>
          <t>公允價值計量</t>
        </is>
      </c>
      <c r="C14" s="20" t="inlineStr">
        <is>
          <t>high</t>
        </is>
      </c>
      <c r="D14" s="12" t="inlineStr">
        <is>
          <t>fair value hierarchy</t>
        </is>
      </c>
      <c r="E14" s="12" t="inlineStr">
        <is>
          <t>PDF p.289 (印刷頁 288)</t>
        </is>
      </c>
      <c r="F14" s="12" t="inlineStr">
        <is>
          <t>e of the Group’s financial assets (i) 本集團按經常性基準以公 that are measured at fair value on a 平值計量的金融資產的公 recurring basis (Continued) 平值（續） Fair value hierarchy and valuation technique of 與場外衍生工具交易有關的 financial instruments relating to OTC derivative 金融工具之公平值層級及估 transactions (Continued) 值技術（續） The outstanding balance represented unlisted 未償付餘額指已發行予客戶之 financial products issued to clients with underlying 非上市金融產品，其相關投資 investments linked to various equity investments, 與各類股本投資、基金投資、 fund investments, FCN and OTC derivatives. The 定息票據及場外衍</t>
        </is>
      </c>
    </row>
    <row r="15">
      <c r="A15" s="9" t="inlineStr">
        <is>
          <t>Fair Value Measurement</t>
        </is>
      </c>
      <c r="B15" s="9" t="inlineStr">
        <is>
          <t>公允價值計量</t>
        </is>
      </c>
      <c r="C15" s="20" t="inlineStr">
        <is>
          <t>high</t>
        </is>
      </c>
      <c r="D15" s="12" t="inlineStr">
        <is>
          <t>fair value hierarchy</t>
        </is>
      </c>
      <c r="E15" s="12" t="inlineStr">
        <is>
          <t>PDF p.290 (印刷頁 289)</t>
        </is>
      </c>
      <c r="F15" s="12" t="inlineStr">
        <is>
          <t>e of the Group’s financial assets (i) 本集團按經常性基準以公 that are measured at fair value on a 平值計量的金融資產的公 recurring basis (Continued) 平值（續） Fair value hierarchy and valuation technique of 與場外衍生工具交易有關的 financial instruments relating to OTC derivative 金融工具之公平值層級及估 transactions (Continued) 值技術（續） A detailed analysis of fair value of client and 於報告期末之客戶及相關對沖 relevant hedging positions as at the end of the 倉盤公平值之詳細分析如下： reporting periods is as follows: As at 31 March 2026 於二零二六年三月三十一日 Level 1 Level 2 Level 3 Total 第一級 第二級 第三級 總計 HK$’000 HK</t>
        </is>
      </c>
    </row>
    <row r="16">
      <c r="A16" s="9" t="inlineStr">
        <is>
          <t>Fair Value Measurement</t>
        </is>
      </c>
      <c r="B16" s="9" t="inlineStr">
        <is>
          <t>公允價值計量</t>
        </is>
      </c>
      <c r="C16" s="20" t="inlineStr">
        <is>
          <t>high</t>
        </is>
      </c>
      <c r="D16" s="12" t="inlineStr">
        <is>
          <t>fair value hierarchy</t>
        </is>
      </c>
      <c r="E16" s="12" t="inlineStr">
        <is>
          <t>PDF p.291 (印刷頁 290)</t>
        </is>
      </c>
      <c r="F16" s="12" t="inlineStr">
        <is>
          <t>e of the Group’s financial assets (i) 本集團按經常性基準以公 that are measured at fair value on a 平值計量的金融資產的公 recurring basis (Continued) 平值（續） Fair value hierarchy and valuation technique of 與場外衍生工具交易有關的金 financial instruments relating to OTC derivative 融工具之公平值層級及估值技 transactions (Continued) 術（續） As at 31 March 2026 (Continued) 於二零二六年三月三十一日（續） Level 1 Level 2 Level 3 Total 第一級 第二級 第三級 總計 HK$’000 HK$’000 HK$’000 HK$’000 千港元 千港元 千港元 千港元 (Note 1) (Note 2) （附註1） （附註2） Derivative financial 衍生金融工具 instruments Assets 資產 — Derivative financial —</t>
        </is>
      </c>
    </row>
    <row r="17">
      <c r="A17" s="9" t="inlineStr">
        <is>
          <t>Impairment Testing</t>
        </is>
      </c>
      <c r="B17" s="9" t="inlineStr">
        <is>
          <t>減值測試</t>
        </is>
      </c>
      <c r="C17" s="20" t="inlineStr">
        <is>
          <t>high</t>
        </is>
      </c>
      <c r="D17" s="12" t="inlineStr">
        <is>
          <t>impairment loss</t>
        </is>
      </c>
      <c r="E17" s="12" t="inlineStr">
        <is>
          <t>PDF p.28 (印刷頁 27)</t>
        </is>
      </c>
      <c r="F17" s="12" t="inlineStr">
        <is>
          <t>at the 攤銷成本計量，該利率已計及截至該相關 date of purchase, which incorporated incurred credit losses up 日期已產生的信貸虧損；及 to that relevant date; and 2. Impairment losses arising after the date of purchase were 2. 購買日期後產生的減值虧損於其產生時 recognised as incurred. The carrying amount of the portfolios 確認。該等組合的賬面值會定期重新估 was re-estimated periodically to reflect actual cash receipts. If 計，以反映實際現金收入。倘實際現金流 actual cash flow patterns or other objective observable events 量模式或其他客觀可觀察事件表明有必 indicated a revision to the original estimated future cash flows 要修訂原估計未來現金</t>
        </is>
      </c>
    </row>
    <row r="18">
      <c r="A18" s="9" t="inlineStr">
        <is>
          <t>Impairment Testing</t>
        </is>
      </c>
      <c r="B18" s="9" t="inlineStr">
        <is>
          <t>減值測試</t>
        </is>
      </c>
      <c r="C18" s="20" t="inlineStr">
        <is>
          <t>high</t>
        </is>
      </c>
      <c r="D18" s="12" t="inlineStr">
        <is>
          <t>impairment loss</t>
        </is>
      </c>
      <c r="E18" s="12" t="inlineStr">
        <is>
          <t>PDF p.38 (印刷頁 37)</t>
        </is>
      </c>
      <c r="F18" s="12" t="inlineStr">
        <is>
          <t>組合最終被視為 are ultimately deemed unrecoverable, the financial impact would 無法收回，則財務影響將主要源自確認減值虧 primarily arise from the recognition of impairment losses. These 損。該等虧損將於本集團的合併收益表中反 losses would be reflected in the Group’s consolidated income 映，從而減少相關期間的呈報利潤或增加呈報 statement, reducing reported profit or increasing reported loss for 虧損。資產負債表上貸款資產的賬面值亦會減 the relevant period. The carrying value of the loan assets on the 少，這可能會影響資產回報率及股本回報率等 balance sheet would also be reduced, which may affect key financial 主要財務比率。 ratios such as return</t>
        </is>
      </c>
    </row>
    <row r="19">
      <c r="A19" s="9" t="inlineStr">
        <is>
          <t>Impairment Testing</t>
        </is>
      </c>
      <c r="B19" s="9" t="inlineStr">
        <is>
          <t>減值測試</t>
        </is>
      </c>
      <c r="C19" s="20" t="inlineStr">
        <is>
          <t>high</t>
        </is>
      </c>
      <c r="D19" s="12" t="inlineStr">
        <is>
          <t>impairment loss</t>
        </is>
      </c>
      <c r="E19" s="12" t="inlineStr">
        <is>
          <t>PDF p.46 (印刷頁 45)</t>
        </is>
      </c>
      <c r="F19" s="12" t="inlineStr">
        <is>
          <t>development and was largely offset by effective 被其他行政費用方面的有效成本控制措施所抵 cost control measures across other administrative expenses. 銷。 Impairment loss under the expected credit loss 預期信貸虧損模式下的減值虧損，扣 model, net of reversal 除撥回 During the Year, the Group recorded provision for impairment loss 於本年度，本集團錄得根據預期信貸虧損（「預 under the expected credit loss model (“ECL”) on financial assets of 期信貸虧損」）模式作出的金融資產減值虧損撥 approximately HK$2.2 million, being an increase when compared to 備約2,200,000港元，較上一個相應年度撥回 the reversal in Last Corresponding Year o</t>
        </is>
      </c>
    </row>
    <row r="20">
      <c r="A20" s="9" t="inlineStr">
        <is>
          <t>Impairment Testing</t>
        </is>
      </c>
      <c r="B20" s="9" t="inlineStr">
        <is>
          <t>減值測試</t>
        </is>
      </c>
      <c r="C20" s="20" t="inlineStr">
        <is>
          <t>high</t>
        </is>
      </c>
      <c r="D20" s="12" t="inlineStr">
        <is>
          <t>impairment loss</t>
        </is>
      </c>
      <c r="E20" s="12" t="inlineStr">
        <is>
          <t>PDF p.54 (印刷頁 53)</t>
        </is>
      </c>
      <c r="F20" s="12" t="inlineStr">
        <is>
          <t>Annual Report 年報 2026 Hunlicar Group Limited 亨利加集團有限公司 MANAGEMENT DISCUSSION AND ANALYSIS 管理層討論及分析 Impairment losses on loan receivables 應收貸款之減值虧損 As at 31 March 2026, the gross carrying amount of loan 於二零二六年三月三十一日，亨利加金融 receivables arising from Hunlicar CCIG of approximately 產生之應收貸款賬面總值約9,900,000港 HK$9.9 million (2025: approximately HK$85.2 million) are 元（二零二五年：約85,200,000港元）以 denominated in Hong Kong dollars, unsecured, bearing fixed 港元計值、無抵押、按12%至15%（二 interest rate from 12% to 15% (2025: 10</t>
        </is>
      </c>
    </row>
    <row r="21">
      <c r="A21" s="9" t="inlineStr">
        <is>
          <t>Impairment Testing</t>
        </is>
      </c>
      <c r="B21" s="9" t="inlineStr">
        <is>
          <t>減值測試</t>
        </is>
      </c>
      <c r="C21" s="20" t="inlineStr">
        <is>
          <t>high</t>
        </is>
      </c>
      <c r="D21" s="12" t="inlineStr">
        <is>
          <t>impairment loss</t>
        </is>
      </c>
      <c r="E21" s="12" t="inlineStr">
        <is>
          <t>PDF p.55 (印刷頁 54)</t>
        </is>
      </c>
      <c r="F21" s="12" t="inlineStr">
        <is>
          <t>何證券而可能收回的預期未來現金流量 each of the borrower concerned pursuant to their respective 後，本集團已悉數計提撥備。減值虧損為 loan agreements with the Group. The impairment loss is the 未償還本金與可自該等借款人收回的預 aggregate difference between the principal outstanding and 期未來現金流量之間的總差額，並已於截 the expected future cash flows recoverable from these 至二零二六年三月三十一日止年度悉數 borrowers and was fully written-off during the year ended 31 撇銷。 March 2026. 54</t>
        </is>
      </c>
    </row>
    <row r="22">
      <c r="A22" s="9" t="inlineStr">
        <is>
          <t>Impairment Testing</t>
        </is>
      </c>
      <c r="B22" s="9" t="inlineStr">
        <is>
          <t>減值測試</t>
        </is>
      </c>
      <c r="C22" s="20" t="inlineStr">
        <is>
          <t>high</t>
        </is>
      </c>
      <c r="D22" s="12" t="inlineStr">
        <is>
          <t>impairment loss</t>
        </is>
      </c>
      <c r="E22" s="12" t="inlineStr">
        <is>
          <t>PDF p.122 (印刷頁 121)</t>
        </is>
      </c>
      <c r="F22" s="12" t="inlineStr">
        <is>
          <t>net 其他收入及收益，淨額 8 43,751 7,706 Selling expenses 銷售費用 (1,795) (1,176) General and administrative expenses 一般及行政費用 (101,669) (100,404) Impairment losses under expected credit 預期信貸虧損模式下的 loss model, net of reversal 減值虧損，扣除撥回 7 (2,240) 2,152 Change in fair value upon transfer from 由物業、廠房及設備 property, plant and equipment to 轉撥至投資物業後 investment properties 的公平值變動 14 – (56,034) Loss on disposal of property, plant and 出售物業、廠房及設備 equipment 的虧損 – (2,726) Share of results from an associate 應佔一間聯營公司業績 18 (220) (181) Impairment of goodwill 商</t>
        </is>
      </c>
    </row>
    <row r="23">
      <c r="A23" s="9" t="inlineStr">
        <is>
          <t>Impairment Testing</t>
        </is>
      </c>
      <c r="B23" s="9" t="inlineStr">
        <is>
          <t>減值測試</t>
        </is>
      </c>
      <c r="C23" s="20" t="inlineStr">
        <is>
          <t>high</t>
        </is>
      </c>
      <c r="D23" s="12" t="inlineStr">
        <is>
          <t>value in use</t>
        </is>
      </c>
      <c r="E23" s="12" t="inlineStr">
        <is>
          <t>PDF p.134 (印刷頁 133)</t>
        </is>
      </c>
      <c r="F23" s="12" t="inlineStr">
        <is>
          <t>larities to fair value 入賬的租賃交易以及與公平值類似 but are not fair value, such as net realisable value in 但並非公平值之計量（如香港會計 HKAS 2 Inventories or value in use in HKAS 36 準則第2號存貨之可變現淨值或香 Impairment of Assets. 港會計準則第36號資產減值之使用 價值）除外。 133</t>
        </is>
      </c>
    </row>
    <row r="24">
      <c r="A24" s="9" t="inlineStr">
        <is>
          <t>Impairment Testing</t>
        </is>
      </c>
      <c r="B24" s="9" t="inlineStr">
        <is>
          <t>減值測試</t>
        </is>
      </c>
      <c r="C24" s="20" t="inlineStr">
        <is>
          <t>high</t>
        </is>
      </c>
      <c r="D24" s="12" t="inlineStr">
        <is>
          <t>impairment test</t>
        </is>
      </c>
      <c r="E24" s="12" t="inlineStr">
        <is>
          <t>PDF p.142 (印刷頁 141)</t>
        </is>
      </c>
      <c r="F24" s="12" t="inlineStr">
        <is>
          <t>收購業務之日（見上文附註3.3）確 business (see Note 3.3 above) less accumulated 定之成本減累計減值虧損（如有）入 impairment losses, if any. 賬。 For the purposes of impairment testing, goodwill is 就減值測試而言，商譽將分配至預 allocated to each of the Group’s cash-generating units (or 計自合併的協同效應中受惠的本集 group of cash-generating units) that is expected to 團各現金產生單位（或現金產生單 benefit from the synergies of the combination, which 位組別），有關現金產生單位指出於 represent the lowest level at which the goodwill is 內部管理目的而監察商譽的最低層 monitored for internal management purposes and not 級，並不大於一個經營分部。 larger</t>
        </is>
      </c>
    </row>
    <row r="25">
      <c r="A25" s="9" t="inlineStr">
        <is>
          <t>Impairment Testing</t>
        </is>
      </c>
      <c r="B25" s="9" t="inlineStr">
        <is>
          <t>減值測試</t>
        </is>
      </c>
      <c r="C25" s="20" t="inlineStr">
        <is>
          <t>high</t>
        </is>
      </c>
      <c r="D25" s="12" t="inlineStr">
        <is>
          <t>impairment loss</t>
        </is>
      </c>
      <c r="E25" s="12" t="inlineStr">
        <is>
          <t>PDF p.143 (印刷頁 142)</t>
        </is>
      </c>
      <c r="F25" s="12" t="inlineStr">
        <is>
          <t>re the end of that reporting period. If 減值測試。倘可收回金額低於其賬 the recoverable amount is less than its carrying amount, 面值，減值虧損首先獲分配以減少 the impairment loss is allocated first to reduce the 任何商譽的賬面值，其後基於單位 carrying amount of any goodwill and then to the other （或現金產生單位組別）各資產的賬 assets on a pro-rata basis based on the carrying amount 面值按比例分配至其他資產。任何 of each asset in the unit (or group of cash-generating 商譽減值虧損直接於損益確認。就 units). Any impairment loss for goodwill is recognised 商譽確認的任何減值虧損於以後期 directly in profit or loss. An impairment loss rec</t>
        </is>
      </c>
    </row>
    <row r="26">
      <c r="A26" s="9" t="inlineStr">
        <is>
          <t>Impairment Testing</t>
        </is>
      </c>
      <c r="B26" s="9" t="inlineStr">
        <is>
          <t>減值測試</t>
        </is>
      </c>
      <c r="C26" s="20" t="inlineStr">
        <is>
          <t>high</t>
        </is>
      </c>
      <c r="D26" s="12" t="inlineStr">
        <is>
          <t>impairment loss</t>
        </is>
      </c>
      <c r="E26" s="12" t="inlineStr">
        <is>
          <t>PDF p.145 (印刷頁 144)</t>
        </is>
      </c>
      <c r="F26" s="12" t="inlineStr">
        <is>
          <t>amount (higher 比較可收回金額（使用價值及公平 of value in use and fair value less costs of disposal) with 值減出售成本之較高者）與其賬面 its carrying amount. Any impairment loss recognised is 值進行減值測試。任何確認之減值 not allocated to any asset, including goodwill, that forms 虧損均不會分攤至任何資產（包含 part of the carrying amount of the investment. Any 屬投資賬面值之一部分的商譽）。減 reversal of that impairment loss is recognised in 值虧損之任何撥回乃按香港會計準 accordance with HKAS 36 to the extent that the 則第36號確認，惟僅限於投資之可 recoverable amount of the investment subsequently 收回金額隨後增加。 increases. 144</t>
        </is>
      </c>
    </row>
    <row r="27">
      <c r="A27" s="9" t="inlineStr">
        <is>
          <t>Impairment Testing</t>
        </is>
      </c>
      <c r="B27" s="9" t="inlineStr">
        <is>
          <t>減值測試</t>
        </is>
      </c>
      <c r="C27" s="20" t="inlineStr">
        <is>
          <t>high</t>
        </is>
      </c>
      <c r="D27" s="12" t="inlineStr">
        <is>
          <t>impairment loss</t>
        </is>
      </c>
      <c r="E27" s="12" t="inlineStr">
        <is>
          <t>PDF p.152 (印刷頁 151)</t>
        </is>
      </c>
      <c r="F27" s="12" t="inlineStr">
        <is>
          <t>ms and conditions of the lease. 本估計。 Right-of-use assets are measured at cost, less any 使用權資產按成本減去任何累計折 accumulated depreciation and impairment losses, and 舊及減值虧損計量，並經租賃負債 adjusted for any remeasurement of lease liabilities. 的任何重新計量調整。 Right-of-use assets in which the Group is reasonably 本集團於租賃期結束時合理確定獲 certain to obtain ownership of the underlying leased 取相關租賃資產擁有權的使用權資 assets at the end of the lease term are depreciated from 產自開始日期起至使用年期結束期 commencement date to the end of the useful life. 間計提折舊。在其他情況下，使用 Otherwise, right-of-u</t>
        </is>
      </c>
    </row>
    <row r="28">
      <c r="A28" s="9" t="inlineStr">
        <is>
          <t>Impairment Testing</t>
        </is>
      </c>
      <c r="B28" s="9" t="inlineStr">
        <is>
          <t>減值測試</t>
        </is>
      </c>
      <c r="C28" s="20" t="inlineStr">
        <is>
          <t>high</t>
        </is>
      </c>
      <c r="D28" s="12" t="inlineStr">
        <is>
          <t>impairment loss</t>
        </is>
      </c>
      <c r="E28" s="12" t="inlineStr">
        <is>
          <t>PDF p.163 (印刷頁 162)</t>
        </is>
      </c>
      <c r="F28" s="12" t="inlineStr">
        <is>
          <t>後累計減 statement of financial position at cost less subsequent 值虧損（如有）於合併財務狀況表列 accumulated depreciation and subsequent accumulated 賬。 impairment losses, if any. When the Group makes payments for ownership interests 當本集團就包括租賃土地及樓宇部 of properties which includes both leasehold land and 分的物業所有權權益付款時，全部 building elements, the entire consideration is allocated 代價按初步確認時的相對公平值比 between the leasehold land and the building elements in 例於租賃土地及樓宇部分之間分 proportion to the relative fair values at initial recognition. 配。倘有關付款能作可靠分配，租 To the exte</t>
        </is>
      </c>
    </row>
    <row r="29">
      <c r="A29" s="9" t="inlineStr">
        <is>
          <t>Impairment Testing</t>
        </is>
      </c>
      <c r="B29" s="9" t="inlineStr">
        <is>
          <t>減值測試</t>
        </is>
      </c>
      <c r="C29" s="20" t="inlineStr">
        <is>
          <t>high</t>
        </is>
      </c>
      <c r="D29" s="12" t="inlineStr">
        <is>
          <t>impairment loss</t>
        </is>
      </c>
      <c r="E29" s="12" t="inlineStr">
        <is>
          <t>PDF p.165 (印刷頁 164)</t>
        </is>
      </c>
      <c r="F29" s="12" t="inlineStr">
        <is>
          <t>s that are acquired 分開收購及具備有限可使用年期之 separately are carried at cost less accumulated 無形資產按成本減累計攤銷及任何 amortisation and any accumulated impairment losses. 累計減值虧損列賬。 Amortisation for intangible assets with finite useful lives 具備有限可使用年期之無形資產攤 is recognised on a straight-line basis over their estimated 銷於其估計可使用年期以直線法確 useful lives. The estimated useful life and amortisation 認。估計可使用年期及攤銷方法於 method are reviewed at the end of each reporting period, 各報告期末進行審閱，而任何估計 with the effect of any changes in estimate being 變動之影響則按前瞻基準入賬。 accounted</t>
        </is>
      </c>
    </row>
    <row r="30">
      <c r="A30" s="9" t="inlineStr">
        <is>
          <t>Impairment Testing</t>
        </is>
      </c>
      <c r="B30" s="9" t="inlineStr">
        <is>
          <t>減值測試</t>
        </is>
      </c>
      <c r="C30" s="20" t="inlineStr">
        <is>
          <t>high</t>
        </is>
      </c>
      <c r="D30" s="12" t="inlineStr">
        <is>
          <t>impairment loss</t>
        </is>
      </c>
      <c r="E30" s="12" t="inlineStr">
        <is>
          <t>PDF p.166 (印刷頁 165)</t>
        </is>
      </c>
      <c r="F30" s="12" t="inlineStr">
        <is>
          <t>tion with finite useful lives 備有限可使用年期之無形資產乃按 are reported at cost less accumulated amortisation and 成本減累計攤銷及任何累計減值虧 any accumulated impairment losses, on the same basis as 損申報，基準與分開收購的無形資 intangible assets that are acquired separately. Intangible 產基準相同。於業務合併中收購具 assets acquired in a business combination with indefinite 備無限可使用年期之無形資產按成 useful lives are carried at cost less any subsequent 本減任何其後累計減值虧損列賬。 accumulated impairment losses. Customer relationships 客戶關係 Customer relationships acquired in a business 客戶關係在業務合併過程中獲得， combi</t>
        </is>
      </c>
    </row>
    <row r="31">
      <c r="A31" s="9" t="inlineStr">
        <is>
          <t>Impairment Testing</t>
        </is>
      </c>
      <c r="B31" s="9" t="inlineStr">
        <is>
          <t>減值測試</t>
        </is>
      </c>
      <c r="C31" s="20" t="inlineStr">
        <is>
          <t>high</t>
        </is>
      </c>
      <c r="D31" s="12" t="inlineStr">
        <is>
          <t>impairment loss</t>
        </is>
      </c>
      <c r="E31" s="12" t="inlineStr">
        <is>
          <t>PDF p.167 (印刷頁 166)</t>
        </is>
      </c>
      <c r="F31" s="12" t="inlineStr">
        <is>
          <t>s, the recoverable amount 象存在，須估計相關資產可收回金 of the relevant asset is estimated in order to determine 額以釐定減值虧損程度（如有）。 the extent of the impairment loss, if any. The recoverable amount of property, plant and 物業、廠房及設備、使用權資產及 equipment, right-of-use assets and intangible assets are 無形資產的可收回金額乃個別估 estimated individually. When it is not possible to estimate 計。倘無法個別估計可收回金額， the recoverable amount individually, the Group estimates 本集團會估計該資產所屬現金產生 the recoverable amount of the cash-generating unit to 單位的可收回金額。 which the asset belongs. In</t>
        </is>
      </c>
    </row>
    <row r="32">
      <c r="A32" s="9" t="inlineStr">
        <is>
          <t>Impairment Testing</t>
        </is>
      </c>
      <c r="B32" s="9" t="inlineStr">
        <is>
          <t>減值測試</t>
        </is>
      </c>
      <c r="C32" s="20" t="inlineStr">
        <is>
          <t>high</t>
        </is>
      </c>
      <c r="D32" s="12" t="inlineStr">
        <is>
          <t>impairment loss</t>
        </is>
      </c>
      <c r="E32" s="12" t="inlineStr">
        <is>
          <t>PDF p.168 (印刷頁 167)</t>
        </is>
      </c>
      <c r="F32" s="12" t="inlineStr">
        <is>
          <t>erating units, with the recoverable amount of 作比較。於分配減值虧損時，減值 the group of cash-generating units. In allocating the 虧損首先獲分配以減少任何商譽（如 impairment loss, the impairment loss is allocated first to 適用）的賬面值，其後基於單位的 reduce the carrying amount of any goodwill (if applicable) 各資產或現金產生單位組別的賬面 and then to the other assets on a pro-rata basis based on 值按比例分配至其他資產。資產賬 the carrying amount of each asset in the unit or the 面值不會扣減至低於其公平值減出 group of cash-generating units. The carrying amount of 售成本（倘可以計量）、其使用價值 an asset is not reduced below the h</t>
        </is>
      </c>
    </row>
    <row r="33">
      <c r="A33" s="9" t="inlineStr">
        <is>
          <t>Impairment Testing</t>
        </is>
      </c>
      <c r="B33" s="9" t="inlineStr">
        <is>
          <t>減值測試</t>
        </is>
      </c>
      <c r="C33" s="20" t="inlineStr">
        <is>
          <t>high</t>
        </is>
      </c>
      <c r="D33" s="12" t="inlineStr">
        <is>
          <t>impairment loss</t>
        </is>
      </c>
      <c r="E33" s="12" t="inlineStr">
        <is>
          <t>PDF p.194 (印刷頁 193)</t>
        </is>
      </c>
      <c r="F33" s="12" t="inlineStr">
        <is>
          <t>in downward revision of future cash flows or 大減值虧損或進一步減值虧損。 upward revision of discount rate, a material impairment loss or further impairment loss may arise. As at 31 March 2026, the carrying amount of goodwill is 於二零二六年三月三十一日，商譽 HK$14,722,000 (2025: HK$14,475,000). Details of the 的賬面值為14,722,000港元（二零 recoverable amount calculation are disclosed in Note 16. 二五年：14,475,000港元）。計算可 收回金額的詳情於附註16內披露。 193</t>
        </is>
      </c>
    </row>
    <row r="34">
      <c r="A34" s="9" t="inlineStr">
        <is>
          <t>Impairment Testing</t>
        </is>
      </c>
      <c r="B34" s="9" t="inlineStr">
        <is>
          <t>減值測試</t>
        </is>
      </c>
      <c r="C34" s="20" t="inlineStr">
        <is>
          <t>high</t>
        </is>
      </c>
      <c r="D34" s="12" t="inlineStr">
        <is>
          <t>impairment loss</t>
        </is>
      </c>
      <c r="E34" s="12" t="inlineStr">
        <is>
          <t>PDF p.201 (印刷頁 200)</t>
        </is>
      </c>
      <c r="F34" s="12" t="inlineStr">
        <is>
          <t>elling expenses 銷售費用 (35) (1,760) – – (1,795) General and administrative 一般及行政費用 expenses (1,156) (8,794) (39,669) (15,662) (65,281) Impairment losses under the 預期信貸虧損模式下的 expected credit loss model, net 減值虧損，扣除 of reversal 撥回 993 (349) (2,857) (27) (2,240) Depreciation and amortisation 折舊及攤銷 (1,886) (3,729) (1,378) (272) (7,265) Gain on bargain purchase 議價購買收益 – – 3,540 – 3,540 Finance costs 財務成本 (117) (82) (434) – (633) Other income and gains, net 其他收入及收益，淨額 29,626 483 8,817 324 39,250 Segment results 分部業績 29,341 5,164 11,218</t>
        </is>
      </c>
    </row>
    <row r="35">
      <c r="A35" s="9" t="inlineStr">
        <is>
          <t>Impairment Testing</t>
        </is>
      </c>
      <c r="B35" s="9" t="inlineStr">
        <is>
          <t>減值測試</t>
        </is>
      </c>
      <c r="C35" s="20" t="inlineStr">
        <is>
          <t>high</t>
        </is>
      </c>
      <c r="D35" s="12" t="inlineStr">
        <is>
          <t>impairment loss</t>
        </is>
      </c>
      <c r="E35" s="12" t="inlineStr">
        <is>
          <t>PDF p.203 (印刷頁 202)</t>
        </is>
      </c>
      <c r="F35" s="12" t="inlineStr">
        <is>
          <t>Selling expenses 銷售費用 (34) (1,142) – – (1,176) General and administrative 一般及行政費用 expenses (4,157) (8,301) (40,498) (4,489) (57,445) Impairment losses under the 預期信貸虧損模式下的 expected credit loss model, net 減值虧損，扣除撥 of reversal 回 (783) 158 2,777 – 2,152 Loss on disposal of property, plant 出售物業、廠房及設備 and equipment 的虧損 – (2,589) – – (2,589) Depreciation and amortisation 折舊及攤銷 (53) (4,059) (1,067) – (5,179) Finance costs 財務成本 – (474) (634) – (1,108) Other income and gains, net 其他收入及收益，淨額 665 903 1,912 20 3,500 Segment results 分部業績 1,</t>
        </is>
      </c>
    </row>
    <row r="36">
      <c r="A36" s="9" t="inlineStr">
        <is>
          <t>Impairment Testing</t>
        </is>
      </c>
      <c r="B36" s="9" t="inlineStr">
        <is>
          <t>減值測試</t>
        </is>
      </c>
      <c r="C36" s="20" t="inlineStr">
        <is>
          <t>high</t>
        </is>
      </c>
      <c r="D36" s="12" t="inlineStr">
        <is>
          <t>impairment loss</t>
        </is>
      </c>
      <c r="E36" s="12" t="inlineStr">
        <is>
          <t>PDF p.211 (印刷頁 210)</t>
        </is>
      </c>
      <c r="F36" s="12" t="inlineStr">
        <is>
          <t>Hunlicar Group Limited 亨利加集團有限公司 Annual Report 年報 2026 NOTES TO THE CONSOLIDATED FINANCIAL STATEMENTS 合併財務報表附註 7 IMPAIRMENT LOSSES UNDER EXPECTED 7 預期信貸虧損模式下的減值虧 CREDIT LOSS MODEL, NET OF REVERSAL 損，扣除撥回 Reversal of expected credit loss/(expected credit loss) on 金融資產預期信貸虧損撥回╱（預期信貸 financial assets, net are as follows: 虧損）淨額如下： Year ended 31 March 截至三月三十一日止年度 2026 2025 二零二六年 二零二五年 HK$’000 HK$’000 千港元 千港元 Loan receivables (Note 36.2) 應收貸款（附註36.2） 2,632 (1,684) Cash client receivables (Note 36.2) 應收現金客戶款項（附註36.</t>
        </is>
      </c>
    </row>
    <row r="37">
      <c r="A37" s="9" t="inlineStr">
        <is>
          <t>Impairment Testing</t>
        </is>
      </c>
      <c r="B37" s="9" t="inlineStr">
        <is>
          <t>減值測試</t>
        </is>
      </c>
      <c r="C37" s="20" t="inlineStr">
        <is>
          <t>high</t>
        </is>
      </c>
      <c r="D37" s="12" t="inlineStr">
        <is>
          <t>impairment test</t>
        </is>
      </c>
      <c r="E37" s="12" t="inlineStr">
        <is>
          <t>PDF p.222 (印刷頁 221)</t>
        </is>
      </c>
      <c r="F37" s="12" t="inlineStr">
        <is>
          <t>l 2025 於二零二五年三月三十一日及 二零二五年四月一日 14,475 Acquisition of subsidiaries (Note 40) 收購附屬公司（附註40） 247 As at 31 March 2026 於二零二六年三月三十一日 14,722 Impairment tests for goodwill 商譽減值測試 Goodwill acquired through business combinations is 業務合併取得的商譽分配至以下現 allocated to the following CGUs for impairment testing: 金產生單位進行減值測試： As at 31 March 於三月三十一日 2026 2025 二零二六年 二零二五年 HK$’000 HK$’000 千港元 千港元 Food trading 2023 cash-generating 食品貿易二零二三年現金 unit (“CGU”) 產生單位（「現金產生單位」） – – Food trading 2025 CGU 食品貿易二零二五年現金 產生單位 14,475 14,475 Family office 2026 CGU 家族辦公</t>
        </is>
      </c>
    </row>
    <row r="38">
      <c r="A38" s="9" t="inlineStr">
        <is>
          <t>Impairment Testing</t>
        </is>
      </c>
      <c r="B38" s="9" t="inlineStr">
        <is>
          <t>減值測試</t>
        </is>
      </c>
      <c r="C38" s="20" t="inlineStr">
        <is>
          <t>high</t>
        </is>
      </c>
      <c r="D38" s="12" t="inlineStr">
        <is>
          <t>impairment test</t>
        </is>
      </c>
      <c r="E38" s="12" t="inlineStr">
        <is>
          <t>PDF p.223 (印刷頁 222)</t>
        </is>
      </c>
      <c r="F38" s="12" t="inlineStr">
        <is>
          <t>TES TO THE CONSOLIDATED FINANCIAL STATEMENTS 合併財務報表附註 16 INTANGIBLE ASSETS 16 無形資產（續） (Continued) (a) Goodwill (Continued) (a) 商譽（續） Impairment tests for goodwill (Continued) 商譽減值測試（續） Food trading 2023 CGU (Continued) 食品貿易二零二三年現金產生單 位（續） The recoverable amount of the Food Trading 2023 CGU 食品貿易二零二三年現金產生單位 is determined based on value-in-use calculations. The 的可收回金額乃基於使用價值計算 calculations use cash flow projections based on financial 而釐定。該計算使用管理層批准涵 budgets approved by management covering a 5-year 蓋五年期間（二零二五年：五年期 period (2025: 5-y</t>
        </is>
      </c>
    </row>
    <row r="39">
      <c r="A39" s="9" t="inlineStr">
        <is>
          <t>Impairment Testing</t>
        </is>
      </c>
      <c r="B39" s="9" t="inlineStr">
        <is>
          <t>減值測試</t>
        </is>
      </c>
      <c r="C39" s="20" t="inlineStr">
        <is>
          <t>high</t>
        </is>
      </c>
      <c r="D39" s="12" t="inlineStr">
        <is>
          <t>impairment test</t>
        </is>
      </c>
      <c r="E39" s="12" t="inlineStr">
        <is>
          <t>PDF p.224 (印刷頁 223)</t>
        </is>
      </c>
      <c r="F39" s="12" t="inlineStr">
        <is>
          <t>TES TO THE CONSOLIDATED FINANCIAL STATEMENTS 合併財務報表附註 16 INTANGIBLE ASSETS 16 無形資產（續） (Continued) (a) Goodwill (Continued) (a) 商譽（續） Impairment tests for goodwill (Continued) 商譽減值測試（續） Food trading 2025 CGU 食品貿易二零二五年現金產生單位 The Group recognised goodwill of HK$14,475,000 本集團於截至二零二五年三月 during the year ended 31 March 2025 as a result of 三十一日止年度確認商譽 acquisition of the equity interest in Shagmei Gourmet 14,475,000港元，乃由於收購正味 Group Limited (“Shagmei Gourmet”). Shagmei 食品集團有限公司（「正味食品」）之 Gourmet is principally engaged in the food trading</t>
        </is>
      </c>
    </row>
    <row r="40">
      <c r="A40" s="9" t="inlineStr">
        <is>
          <t>Impairment Testing</t>
        </is>
      </c>
      <c r="B40" s="9" t="inlineStr">
        <is>
          <t>減值測試</t>
        </is>
      </c>
      <c r="C40" s="20" t="inlineStr">
        <is>
          <t>high</t>
        </is>
      </c>
      <c r="D40" s="12" t="inlineStr">
        <is>
          <t>impairment test</t>
        </is>
      </c>
      <c r="E40" s="12" t="inlineStr">
        <is>
          <t>PDF p.225 (印刷頁 224)</t>
        </is>
      </c>
      <c r="F40" s="12" t="inlineStr">
        <is>
          <t>TES TO THE CONSOLIDATED FINANCIAL STATEMENTS 合併財務報表附註 16 INTANGIBLE ASSETS 16 無形資產（續） (Continued) (a) Goodwill (Continued) (a) 商譽（續） Impairment tests for goodwill (Continued) 商譽減值測試（續） Food trading 2025 CGU (Continued) 食品貿易二零二五年現金產生單 位（續） Management believes that any reasonable possible 管理層相信，上述任何假設的任何 change in any of the above assumptions would not result 合理可能變動將不會導致減值。 in impairment. Family Office 2026 CGU 家族辦公室二零二六年現金產生 單位 The Group recognised goodwill of HK$247,000 during 本集團於截至二零二六年三月 the year ended 31 March 2026 as a res</t>
        </is>
      </c>
    </row>
    <row r="41">
      <c r="A41" s="9" t="inlineStr">
        <is>
          <t>Impairment Testing</t>
        </is>
      </c>
      <c r="B41" s="9" t="inlineStr">
        <is>
          <t>減值測試</t>
        </is>
      </c>
      <c r="C41" s="20" t="inlineStr">
        <is>
          <t>high</t>
        </is>
      </c>
      <c r="D41" s="12" t="inlineStr">
        <is>
          <t>impairment test</t>
        </is>
      </c>
      <c r="E41" s="12" t="inlineStr">
        <is>
          <t>PDF p.226 (印刷頁 225)</t>
        </is>
      </c>
      <c r="F41" s="12" t="inlineStr">
        <is>
          <t>TES TO THE CONSOLIDATED FINANCIAL STATEMENTS 合併財務報表附註 16 INTANGIBLE ASSETS 16 無形資產（續） (Continued) (a) Goodwill (Continued) (a) 商譽（續） Impairment tests for goodwill (Continued) 商譽減值測試（續） Family Office 2026 CGU (Continued) 家族辦公室二零二六年現金產生 單位（續） The key assumptions used in value-in-use calculation are 使用價值計算所用的主要假設如下： as follows: As at 31 March 於三月三十一日 2026 二零二六年 Terminal growth rate 永久增長率 1.8% Discount rate (pre-tax) 貼現率（稅前） 15.0% Management determined the budgeted revenue based 管理層按其對市場發展的預期釐定 on their expectations of market devel</t>
        </is>
      </c>
    </row>
    <row r="42">
      <c r="A42" s="9" t="inlineStr">
        <is>
          <t>Impairment Testing</t>
        </is>
      </c>
      <c r="B42" s="9" t="inlineStr">
        <is>
          <t>減值測試</t>
        </is>
      </c>
      <c r="C42" s="20" t="inlineStr">
        <is>
          <t>high</t>
        </is>
      </c>
      <c r="D42" s="12" t="inlineStr">
        <is>
          <t>impairment loss</t>
        </is>
      </c>
      <c r="E42" s="12" t="inlineStr">
        <is>
          <t>PDF p.228 (印刷頁 227)</t>
        </is>
      </c>
      <c r="F42" s="12" t="inlineStr">
        <is>
          <t>s have finite useful lives and 係的使用年期有限，並按成本減累 are carried at cost less accumulated amortisation and any 計攤銷及任何累計減值虧損列賬。 accumulated impairment losses. Amortisation is 攤銷乃以直線法按客戶關係的估計 calculated using the straight-line method over the 可使用年期進行計算。 expected useful life of the customer relationship. The useful life of customer relationships recognised 收購正味國際時確認的客戶關係使 during acquisition of Shag Mei International was five 用年期為五年。於報告期末，正味 years. At the end of the reporting period, the remaining 國際的客戶關係的餘下攤銷期為22 amortisation period of</t>
        </is>
      </c>
    </row>
    <row r="43">
      <c r="A43" s="9" t="inlineStr">
        <is>
          <t>Impairment Testing</t>
        </is>
      </c>
      <c r="B43" s="9" t="inlineStr">
        <is>
          <t>減值測試</t>
        </is>
      </c>
      <c r="C43" s="20" t="inlineStr">
        <is>
          <t>high</t>
        </is>
      </c>
      <c r="D43" s="12" t="inlineStr">
        <is>
          <t>impairment loss</t>
        </is>
      </c>
      <c r="E43" s="12" t="inlineStr">
        <is>
          <t>PDF p.234 (印刷頁 233)</t>
        </is>
      </c>
      <c r="F43" s="12" t="inlineStr">
        <is>
          <t>0,581 Share of post-acquisition loss and 應佔收購後虧損及其他綜合 other comprehensive expense, net of 支出，扣除已收股息 dividends received (401) (4,177) Impairment loss recognised 確認減值虧損 – (6,258) Exchange adjustments 匯兌調整 – 333 259 479 Share of loss of associates during the year 年度應佔聯營公司虧損 (220) (181) The Group has not recognised a share of result of the associate 由於因累計應佔虧損及已確認減值虧損 for the year as it has been limited to HK$nil because the 大於此聯營公司的權益導致應佔此聯營 accumulated share of losses and impairment loss recognised 公司業績限於零港元，故本集團於年內並 are greater t</t>
        </is>
      </c>
    </row>
    <row r="44">
      <c r="A44" s="9" t="inlineStr">
        <is>
          <t>Impairment Testing</t>
        </is>
      </c>
      <c r="B44" s="9" t="inlineStr">
        <is>
          <t>減值測試</t>
        </is>
      </c>
      <c r="C44" s="20" t="inlineStr">
        <is>
          <t>high</t>
        </is>
      </c>
      <c r="D44" s="12" t="inlineStr">
        <is>
          <t>impairment loss</t>
        </is>
      </c>
      <c r="E44" s="12" t="inlineStr">
        <is>
          <t>PDF p.271 (印刷頁 270)</t>
        </is>
      </c>
      <c r="F44" s="12" t="inlineStr">
        <is>
          <t>mount of each 於報告期末審閱上述各項個別資產 aforesaid individual assets at the end of the reporting 的可收回金額，以確保就不可收回 period to ensure that adequate impairment losses are 金額作出充足的減值虧損。本集團 made for irrecoverable amounts. The Group’s internal 的內部信貸風險評級評估包括以下 credit risk grading assessment comprises the following 類別： categories: Trade and bills Other financial Internal credit rating Description receivables assets/other items 貿易應收賬款及 其他金融資產╱ 內部信貸評級 描述 應收票據 其他項目 Low risk The counterparty has a low risk of default Lifetime ECL — not 12m ECL and does</t>
        </is>
      </c>
    </row>
    <row r="45">
      <c r="A45" s="9" t="inlineStr">
        <is>
          <t>Impairment Testing</t>
        </is>
      </c>
      <c r="B45" s="9" t="inlineStr">
        <is>
          <t>減值測試</t>
        </is>
      </c>
      <c r="C45" s="20" t="inlineStr">
        <is>
          <t>high</t>
        </is>
      </c>
      <c r="D45" s="12" t="inlineStr">
        <is>
          <t>impairment loss</t>
        </is>
      </c>
      <c r="E45" s="12" t="inlineStr">
        <is>
          <t>PDF p.277 (印刷頁 276)</t>
        </is>
      </c>
      <c r="F45" s="12" t="inlineStr">
        <is>
          <t>red) Total 全期預期 全期預期 信貸虧損 信貸虧損 （非信貸減值） （信貸減值） 總計 HK$’000 HK$’000 HK$’000 千港元 千港元 千港元 As at 1 April 2024 於二零二四年四月一日 240 87,820 88,060 Impairment losses recognised/ 已確認╱（撥回）減值 (reversed), net 虧損，淨額 769 (144) 625 As at 31 March 2025 and 於二零二五年 1 April 2025 三月三十一日及 二零二五年四月一日 1,009 87,676 88,685 Impairment losses reversed, net 已撥回減值虧損，淨額 (617) – (617) Written-off 撇銷 (347) – (347) As at 31 March 2026 於二零二六年 三月三十一日 45 87,676 87,721 276</t>
        </is>
      </c>
    </row>
    <row r="46">
      <c r="A46" s="9" t="inlineStr">
        <is>
          <t>Impairment Testing</t>
        </is>
      </c>
      <c r="B46" s="9" t="inlineStr">
        <is>
          <t>減值測試</t>
        </is>
      </c>
      <c r="C46" s="20" t="inlineStr">
        <is>
          <t>high</t>
        </is>
      </c>
      <c r="D46" s="12" t="inlineStr">
        <is>
          <t>impairment loss</t>
        </is>
      </c>
      <c r="E46" s="12" t="inlineStr">
        <is>
          <t>PDF p.278 (印刷頁 277)</t>
        </is>
      </c>
      <c r="F46" s="12" t="inlineStr">
        <is>
          <t>l 2024 於二零二四年四月一日 – – 282,695 – 282,695 Changes due to financial 於二零二四年 instruments recognised as at 1 四月一日確認的 April 2024: 金融工具變動： — Impairment losses (reversed)/ — 已（撥回）╱確認 recognised, net 減值虧損，淨額 – 10 (2,829) – (2,819) — Written-off — 撇銷 – – (227,758) – (227,758) New financial assets originated 已產生新金融資產，扣除因 net of those derecognised due 結算而終止確認的金額 to settlement – – 42 – 42 As at 31 March 2025 and 於二零二五年 1 April 2025 三月三十一日及 二零二五年四月一日 – 10 52,150 – 52,160 Changes due to financial 於二零二五年 instruments recognised as at 1 四月一日確認的 A</t>
        </is>
      </c>
    </row>
    <row r="47">
      <c r="A47" s="9" t="inlineStr">
        <is>
          <t>Impairment Testing</t>
        </is>
      </c>
      <c r="B47" s="9" t="inlineStr">
        <is>
          <t>減值測試</t>
        </is>
      </c>
      <c r="C47" s="20" t="inlineStr">
        <is>
          <t>high</t>
        </is>
      </c>
      <c r="D47" s="12" t="inlineStr">
        <is>
          <t>recoverable amount</t>
        </is>
      </c>
      <c r="E47" s="12" t="inlineStr">
        <is>
          <t>PDF p.281 (印刷頁 280)</t>
        </is>
      </c>
      <c r="F47" s="12" t="inlineStr">
        <is>
          <t>ecurities business at each reporting date to 審閱各證券業務個別應收賬款 ensure that adequate allowance for impairment is 的可收回金額，以確保就不可 made for irrecoverable amounts. 收回金額作出充足減值撥備。 280</t>
        </is>
      </c>
    </row>
    <row r="48">
      <c r="A48" s="9" t="inlineStr">
        <is>
          <t>Impairment Testing</t>
        </is>
      </c>
      <c r="B48" s="9" t="inlineStr">
        <is>
          <t>減值測試</t>
        </is>
      </c>
      <c r="C48" s="20" t="inlineStr">
        <is>
          <t>high</t>
        </is>
      </c>
      <c r="D48" s="12" t="inlineStr">
        <is>
          <t>impairment loss</t>
        </is>
      </c>
      <c r="E48" s="12" t="inlineStr">
        <is>
          <t>PDF p.294 (印刷頁 293)</t>
        </is>
      </c>
      <c r="F48" s="12" t="inlineStr">
        <is>
          <t>6) 商譽減值（附註16） – 8,035 Impairment of other intangible assets (Note 16) 其他無形資產減值（附註16） – 657 Gain on bargain purchase 議價購買收益 (3,540) – Impairment losses under expected credit loss 預期信貸虧損模式項下的 model, net of reversal 減值虧損，扣除撥回 — Loan receivables (Note 7) — 應收貸款（附註7） 2,632 (1,684) — Cash client receivables (Note 7) — 應收現金客戶款項 （附註7） 225 (1,093) — Trade receivables (Note 7) — 貿易應收賬款（附註7） (617) 625 293</t>
        </is>
      </c>
    </row>
    <row r="49">
      <c r="A49" s="9" t="inlineStr">
        <is>
          <t>Intangible Assets &amp; Goodwill</t>
        </is>
      </c>
      <c r="B49" s="9" t="inlineStr">
        <is>
          <t>無形資產及商譽</t>
        </is>
      </c>
      <c r="C49" s="20" t="inlineStr">
        <is>
          <t>high</t>
        </is>
      </c>
      <c r="D49" s="12" t="inlineStr">
        <is>
          <t>攤銷</t>
        </is>
      </c>
      <c r="E49" s="12" t="inlineStr">
        <is>
          <t>PDF p.28 (印刷頁 27)</t>
        </is>
      </c>
      <c r="F49" s="12" t="inlineStr">
        <is>
          <t>These portfolios were subsequently measured at 其後採用於購買日期計算的實際利率按 amortised cost using the effective interest rate calculated at the 攤銷成本計量，該利率已計及截至該相關 date of purchase, which incorporated incurred credit losses up 日期已產生的信貸虧損；及 to that relevant date; and 2. Impairment losses arising after the date of purchase were 2. 購買日期後產生的減值虧損於其產生時 recognised as incurred. The carrying amount of the portfolios 確認。該等組合的賬面值會定期重新估 was re-estimated periodically to reflect actual cash receipts. If 計，以反映實際現金收入。倘實際現金流 actual cash flow patterns or ot</t>
        </is>
      </c>
    </row>
    <row r="50">
      <c r="A50" s="9" t="inlineStr">
        <is>
          <t>Intangible Assets &amp; Goodwill</t>
        </is>
      </c>
      <c r="B50" s="9" t="inlineStr">
        <is>
          <t>無形資產及商譽</t>
        </is>
      </c>
      <c r="C50" s="20" t="inlineStr">
        <is>
          <t>high</t>
        </is>
      </c>
      <c r="D50" s="12" t="inlineStr">
        <is>
          <t>攤銷</t>
        </is>
      </c>
      <c r="E50" s="12" t="inlineStr">
        <is>
          <t>PDF p.29 (印刷頁 28)</t>
        </is>
      </c>
      <c r="F50" s="12" t="inlineStr">
        <is>
          <t>l cash receipts, in line with its recovery strategy and accounting policies. 已作撥備 由於該等貸款已被原貸款人悉數撇銷，故城投中國理財於收購時並無作 出撥備。該等組合以巨大折扣收購，其後按攤銷成本計量。根據實際現 金收入，並按照其追討策略及會計政策進行定期重新估計。 28</t>
        </is>
      </c>
    </row>
    <row r="51">
      <c r="A51" s="9" t="inlineStr">
        <is>
          <t>Intangible Assets &amp; Goodwill</t>
        </is>
      </c>
      <c r="B51" s="9" t="inlineStr">
        <is>
          <t>無形資產及商譽</t>
        </is>
      </c>
      <c r="C51" s="20" t="inlineStr">
        <is>
          <t>high</t>
        </is>
      </c>
      <c r="D51" s="12" t="inlineStr">
        <is>
          <t>攤銷</t>
        </is>
      </c>
      <c r="E51" s="12" t="inlineStr">
        <is>
          <t>PDF p.30 (印刷頁 29)</t>
        </is>
      </c>
      <c r="F51" s="12" t="inlineStr">
        <is>
          <t>l cash receipts, in line with its recovery strategy and accounting policies. 已作撥備 由於該等貸款已被原貸款人悉數撇銷，故城投中國理財於收購時並無作 出撥備。該等組合以巨大折扣收購，其後按攤銷成本計量。根據實際現 金收入，並按照其追討策略及會計政策進行定期重新估計。 29</t>
        </is>
      </c>
    </row>
    <row r="52">
      <c r="A52" s="9" t="inlineStr">
        <is>
          <t>Intangible Assets &amp; Goodwill</t>
        </is>
      </c>
      <c r="B52" s="9" t="inlineStr">
        <is>
          <t>無形資產及商譽</t>
        </is>
      </c>
      <c r="C52" s="20" t="inlineStr">
        <is>
          <t>high</t>
        </is>
      </c>
      <c r="D52" s="12" t="inlineStr">
        <is>
          <t>攤銷</t>
        </is>
      </c>
      <c r="E52" s="12" t="inlineStr">
        <is>
          <t>PDF p.31 (印刷頁 30)</t>
        </is>
      </c>
      <c r="F52" s="12" t="inlineStr">
        <is>
          <t>l cash receipts, in line with its recovery strategy and accounting policies. 已作撥備 由於該等貸款已被原貸款人悉數撇銷，故城投中國理財於收購時並無作 出撥備。該等組合以巨大折扣收購，其後按攤銷成本計量。根據實際現 金收入，並按照其追討策略及會計政策進行定期重新估計。 30</t>
        </is>
      </c>
    </row>
    <row r="53">
      <c r="A53" s="9" t="inlineStr">
        <is>
          <t>Intangible Assets &amp; Goodwill</t>
        </is>
      </c>
      <c r="B53" s="9" t="inlineStr">
        <is>
          <t>無形資產及商譽</t>
        </is>
      </c>
      <c r="C53" s="20" t="inlineStr">
        <is>
          <t>high</t>
        </is>
      </c>
      <c r="D53" s="12" t="inlineStr">
        <is>
          <t>攤銷</t>
        </is>
      </c>
      <c r="E53" s="12" t="inlineStr">
        <is>
          <t>PDF p.47 (印刷頁 46)</t>
        </is>
      </c>
      <c r="F53" s="12" t="inlineStr">
        <is>
          <t>ent of the Company is based 本公司釐定減值的基準為基於香港財務報告準 on the ECL model according to HKFRS 9. Financial assets at amortised 則第9號的預期信貸虧損模型。按攤銷成本計 cost are subject to impairment under the general approach and they 量的金融資產按一般方法計提減值，除貿易應 are classified within the following stages for measurement of ECLs 收賬款採用簡化方法外，其分類為下列階段以 except for trade receivables which apply the simplified approach as 計量預期信貸虧損，詳情如下。 detailed below. Stage 1 — Financial instruments for which credit risk has not 第一階段 — 信貸風險自初步確認以來並無顯 increased significantly since initi</t>
        </is>
      </c>
    </row>
    <row r="54">
      <c r="A54" s="9" t="inlineStr">
        <is>
          <t>Intangible Assets &amp; Goodwill</t>
        </is>
      </c>
      <c r="B54" s="9" t="inlineStr">
        <is>
          <t>無形資產及商譽</t>
        </is>
      </c>
      <c r="C54" s="20" t="inlineStr">
        <is>
          <t>high</t>
        </is>
      </c>
      <c r="D54" s="12" t="inlineStr">
        <is>
          <t>intangible asset</t>
        </is>
      </c>
      <c r="E54" s="12" t="inlineStr">
        <is>
          <t>PDF p.122 (印刷頁 121)</t>
        </is>
      </c>
      <c r="F54" s="12" t="inlineStr">
        <is>
          <t>– (2,726) Share of results from an associate 應佔一間聯營公司業績 18 (220) (181) Impairment of goodwill 商譽減值 16 – (8,035) Impairment of other intangible assets 其他無形資產減值 16 – (657) Gain on bargain purchase 議價購買收益 40 3,540 – Change in fair value on investment 投資物業公平值變動 properties 14 (2,500) – Operating profit/(loss) 經營利潤╱（虧損） 36,184 (62,977) Finance costs 財務成本 9 (8,435) (9,144) Profit/(loss) before income tax 扣除所得稅前利潤╱（虧損） 10 27,749 (72,121) Income tax expense 所得稅開支 11 (727) (1,689) Profit/(loss) for the year 年度利潤╱（虧損） 27,022 (73,810) Pro</t>
        </is>
      </c>
    </row>
    <row r="55">
      <c r="A55" s="9" t="inlineStr">
        <is>
          <t>Intangible Assets &amp; Goodwill</t>
        </is>
      </c>
      <c r="B55" s="9" t="inlineStr">
        <is>
          <t>無形資產及商譽</t>
        </is>
      </c>
      <c r="C55" s="20" t="inlineStr">
        <is>
          <t>high</t>
        </is>
      </c>
      <c r="D55" s="12" t="inlineStr">
        <is>
          <t>intangible asset</t>
        </is>
      </c>
      <c r="E55" s="12" t="inlineStr">
        <is>
          <t>PDF p.124 (印刷頁 123)</t>
        </is>
      </c>
      <c r="F55" s="12" t="inlineStr">
        <is>
          <t>plant and equipment 物業、廠房及設備 13 12,864 8,003 Investment properties 投資物業 14 121,000 123,500 Right-of-use assets 使用權資產 15 5,162 6,008 Intangible assets 無形資產 16 22,548 22,937 Other financial assets 其他金融資產 23 817 4,887 Interests in an associate 於一間聯營公司之權益 18 259 479 Loan receivables 應收貸款 20 1,502 12,216 Deposits, prepayments and 按金、預付款項及 other receivables 其他應收款項 22 2,400 3,010 Deferred tax assets 遞延稅項資產 32 17,412 17,374 183,964 198,414 Current assets 流動資產 Inventories 存貨 19 7,083 3,361 Loan receivables 應收貸款 20 59,772 26,520 Account</t>
        </is>
      </c>
    </row>
    <row r="56">
      <c r="A56" s="9" t="inlineStr">
        <is>
          <t>Intangible Assets &amp; Goodwill</t>
        </is>
      </c>
      <c r="B56" s="9" t="inlineStr">
        <is>
          <t>無形資產及商譽</t>
        </is>
      </c>
      <c r="C56" s="20" t="inlineStr">
        <is>
          <t>high</t>
        </is>
      </c>
      <c r="D56" s="12" t="inlineStr">
        <is>
          <t>goodwill</t>
        </is>
      </c>
      <c r="E56" s="12" t="inlineStr">
        <is>
          <t>PDF p.138 (印刷頁 137)</t>
        </is>
      </c>
      <c r="F56" s="12" t="inlineStr">
        <is>
          <t>and the fair value of any 權益之公平值之總和及(ii)本公司擁 retained interest and (ii) the carrying amount of the assets 有人應佔附屬公司的資產（包括商 (including goodwill), and liabilities of the subsidiary 譽）及負債之賬面值之間的差額計 attributable to the owners of the Company. All amounts 算。先前就該附屬公司於其他綜合 previously recognised in other comprehensive income in 收入確認之所有金額均按猶如本集 relation to that subsidiary are accounted for as if the 團已直接出售附屬公司之相關資產 Group had directly disposed of the related assets or 或負債之方式入賬（即按適用香港 liabilities of the subsidiary (i.e. reclassified to prof</t>
        </is>
      </c>
    </row>
    <row r="57">
      <c r="A57" s="9" t="inlineStr">
        <is>
          <t>Intangible Assets &amp; Goodwill</t>
        </is>
      </c>
      <c r="B57" s="9" t="inlineStr">
        <is>
          <t>無形資產及商譽</t>
        </is>
      </c>
      <c r="C57" s="20" t="inlineStr">
        <is>
          <t>high</t>
        </is>
      </c>
      <c r="D57" s="12" t="inlineStr">
        <is>
          <t>goodwill</t>
        </is>
      </c>
      <c r="E57" s="12" t="inlineStr">
        <is>
          <t>PDF p.140 (印刷頁 139)</t>
        </is>
      </c>
      <c r="F57" s="12" t="inlineStr">
        <is>
          <t>reflect favourable or 租賃負債相同的金額確認及計 unfavourable terms of the lease when compared 量，並作出調整以反映與市場 with market terms. 條款相比的有利或不利租賃條 款。 Goodwill is measured as the excess of the sum of the 商譽乃以所轉讓代價、任何非控股 consideration transferred, the amount of any non- 權益於被收購方中所佔金額、及收 controlling interests in the acquiree, and the fair value of 購方以往持有之被收購方股權之公 the acquirer’s previously held equity interest in the 平值（如有）之總和，超出已收購可 acquiree (if any) over the net amount of the identifiable 識別資產及已承擔負債於收購日期 assets acquired and the liabilities assumed</t>
        </is>
      </c>
    </row>
    <row r="58">
      <c r="A58" s="9" t="inlineStr">
        <is>
          <t>Intangible Assets &amp; Goodwill</t>
        </is>
      </c>
      <c r="B58" s="9" t="inlineStr">
        <is>
          <t>無形資產及商譽</t>
        </is>
      </c>
      <c r="C58" s="20" t="inlineStr">
        <is>
          <t>high</t>
        </is>
      </c>
      <c r="D58" s="12" t="inlineStr">
        <is>
          <t>goodwill</t>
        </is>
      </c>
      <c r="E58" s="12" t="inlineStr">
        <is>
          <t>PDF p.142 (印刷頁 141)</t>
        </is>
      </c>
      <c r="F58" s="12" t="inlineStr">
        <is>
          <t>stances that existed at the acquisition date that, if 事實與情況之新資料。 known, would have affected the amounts recognised at that date. 3.4 Goodwill 3.4 商譽 Goodwill arising on an acquisition of a business is carried 因收購一項業務所產生之商譽按於 at cost as established at the date of acquisition of the 收購業務之日（見上文附註3.3）確 business (see Note 3.3 above) less accumulated 定之成本減累計減值虧損（如有）入 impairment losses, if any. 賬。 For the purposes of impairment testing, goodwill is 就減值測試而言，商譽將分配至預 allocated to each of the Group’s cash-generating units (or 計自合併的協同效應中受惠</t>
        </is>
      </c>
    </row>
    <row r="59">
      <c r="A59" s="9" t="inlineStr">
        <is>
          <t>Intangible Assets &amp; Goodwill</t>
        </is>
      </c>
      <c r="B59" s="9" t="inlineStr">
        <is>
          <t>無形資產及商譽</t>
        </is>
      </c>
      <c r="C59" s="20" t="inlineStr">
        <is>
          <t>high</t>
        </is>
      </c>
      <c r="D59" s="12" t="inlineStr">
        <is>
          <t>goodwill</t>
        </is>
      </c>
      <c r="E59" s="12" t="inlineStr">
        <is>
          <t>PDF p.143 (印刷頁 142)</t>
        </is>
      </c>
      <c r="F59" s="12" t="inlineStr">
        <is>
          <t>EPARATION OF CONSOLIDATED 3 編製合併財務報表的基準及重 FINANCIAL STATEMENTS AND MATERIAL 大會計政策資料（續） ACCOUNTING POLICY INFORMATION (Continued) 3.4 Goodwill (Continued) 3.4 商譽（續） A cash-generating unit (or group of cash-generating 已獲分配商譽的現金產生單位（或 units) to which goodwill has been allocated is tested for 現金產生單位組別）每年或倘有跡 impairment annually or more frequently when there is 象顯示有關單位可能出現減值時更 indication that the unit may be impaired. For goodwill 頻密地進行減值測試。就於報告期 arising on an acquisition in a reporting period, the cash- 內的收購所產生的商譽而言，已獲 generating u</t>
        </is>
      </c>
    </row>
    <row r="60">
      <c r="A60" s="9" t="inlineStr">
        <is>
          <t>Intangible Assets &amp; Goodwill</t>
        </is>
      </c>
      <c r="B60" s="9" t="inlineStr">
        <is>
          <t>無形資產及商譽</t>
        </is>
      </c>
      <c r="C60" s="20" t="inlineStr">
        <is>
          <t>high</t>
        </is>
      </c>
      <c r="D60" s="12" t="inlineStr">
        <is>
          <t>goodwill</t>
        </is>
      </c>
      <c r="E60" s="12" t="inlineStr">
        <is>
          <t>PDF p.145 (印刷頁 144)</t>
        </is>
      </c>
      <c r="F60" s="12" t="inlineStr">
        <is>
          <t>re of the net fair value of the 投資方可識別資產及負債公平值淨 identifiable assets and liabilities of the investee is 額之任何部分確認為商譽，並計入 recognised as goodwill, which is included within the 投資的賬面值。倘本集團所佔的可 carrying amount of the investment. Any excess of the 識別資產及負債於重新評估後的公 Group’s share of the net fair value of the identifiable 平值淨額高於投資成本，則會於收 assets and liabilities over the cost of the investment, after 購投資期間即時於損益中確認。 reassessment, is recognised immediately in profit or loss in the period in which the investment is acquired. The Group assesses</t>
        </is>
      </c>
    </row>
    <row r="61">
      <c r="A61" s="9" t="inlineStr">
        <is>
          <t>Intangible Assets &amp; Goodwill</t>
        </is>
      </c>
      <c r="B61" s="9" t="inlineStr">
        <is>
          <t>無形資產及商譽</t>
        </is>
      </c>
      <c r="C61" s="20" t="inlineStr">
        <is>
          <t>high</t>
        </is>
      </c>
      <c r="D61" s="12" t="inlineStr">
        <is>
          <t>攤銷</t>
        </is>
      </c>
      <c r="E61" s="12" t="inlineStr">
        <is>
          <t>PDF p.150 (印刷頁 149)</t>
        </is>
      </c>
      <c r="F61" s="12" t="inlineStr">
        <is>
          <t>discounts the estimated future cash receipts over 率，使用實際利率法按應計基準確 the expected life of the financial asset. For financial assets 認。就按攤銷成本計量且未信貸減 measured at amortised cost that are not credit-impaired, 值的金融資產而言，實際利率乃應 the effective interest rate is applied to the gross carrying 用於該資產的賬面總值。就信貸減 amount of the asset. For credit-impaired financial assets, 值金融資產而言，實際利率乃應用 the effective interest rate is applied to the amortised cost 於該資產的攤銷成本（即賬面總值 (i.e. gross carrying amount net of loss allowance) of the 扣除虧損撥備）。 asset. Realised pro</t>
        </is>
      </c>
    </row>
    <row r="62">
      <c r="A62" s="9" t="inlineStr">
        <is>
          <t>Intangible Assets &amp; Goodwill</t>
        </is>
      </c>
      <c r="B62" s="9" t="inlineStr">
        <is>
          <t>無形資產及商譽</t>
        </is>
      </c>
      <c r="C62" s="20" t="inlineStr">
        <is>
          <t>high</t>
        </is>
      </c>
      <c r="D62" s="12" t="inlineStr">
        <is>
          <t>useful life</t>
        </is>
      </c>
      <c r="E62" s="12" t="inlineStr">
        <is>
          <t>PDF p.152 (印刷頁 151)</t>
        </is>
      </c>
      <c r="F62" s="12" t="inlineStr">
        <is>
          <t>leased 取相關租賃資產擁有權的使用權資 assets at the end of the lease term are depreciated from 產自開始日期起至使用年期結束期 commencement date to the end of the useful life. 間計提折舊。在其他情況下，使用 Otherwise, right-of-use assets are depreciated on a 權資產以直線法於其估計使用年期 straight-line basis over the shorter of its estimated useful 及租賃期（以較短者為準）內計提折 life and the lease term. 舊。 The Group presents right-of-use assets as a separate line 本集團於合併財務狀況表中將使用 item on the consolidated statement of financial position. 權資產列作單獨項目。 Refundable rental deposits 可退還租金按金 Refundable rental d</t>
        </is>
      </c>
    </row>
    <row r="63">
      <c r="A63" s="9" t="inlineStr">
        <is>
          <t>Intangible Assets &amp; Goodwill</t>
        </is>
      </c>
      <c r="B63" s="9" t="inlineStr">
        <is>
          <t>無形資產及商譽</t>
        </is>
      </c>
      <c r="C63" s="20" t="inlineStr">
        <is>
          <t>high</t>
        </is>
      </c>
      <c r="D63" s="12" t="inlineStr">
        <is>
          <t>goodwill</t>
        </is>
      </c>
      <c r="E63" s="12" t="inlineStr">
        <is>
          <t>PDF p.155 (印刷頁 154)</t>
        </is>
      </c>
      <c r="F63" s="12" t="inlineStr">
        <is>
          <t>為非控股權益應佔，如適用）。 accumulated in equity under the heading of exchange reserve (attributed to non-controlling interests as appropriate). Goodwill and fair value adjustments on identifiable assets 就收購海外業務所購入的可識別資 acquired arising on an acquisition of a foreign operation 產所產生之商譽及公平值調整均視 are treated as assets and liabilities of that foreign 作該海外業務的資產及負債處理， operation and translated at the rate of exchange 並按各報告期末之適用匯率換算。 prevailing at the end of each reporting period. Exchange 所產生的匯兌差異乃於其他綜合收 differences arising are recognised in other</t>
        </is>
      </c>
    </row>
    <row r="64">
      <c r="A64" s="9" t="inlineStr">
        <is>
          <t>Intangible Assets &amp; Goodwill</t>
        </is>
      </c>
      <c r="B64" s="9" t="inlineStr">
        <is>
          <t>無形資產及商譽</t>
        </is>
      </c>
      <c r="C64" s="20" t="inlineStr">
        <is>
          <t>high</t>
        </is>
      </c>
      <c r="D64" s="12" t="inlineStr">
        <is>
          <t>goodwill</t>
        </is>
      </c>
      <c r="E64" s="12" t="inlineStr">
        <is>
          <t>PDF p.161 (印刷頁 160)</t>
        </is>
      </c>
      <c r="F64" s="12" t="inlineStr">
        <is>
          <t>erences. In addition, deferred tax liabilities are not recognised if the temporary difference arises from the initial recognition of goodwill. Deferred tax liabilities are recognised for taxable 遞延稅項負債乃按因於附屬公司及 temporary differences associated with investments in 聯營公司之投資而引致之應課稅暫 subsidiaries and associates, except where the Group is 時差額確認，惟若本集團可控制暫 able to control the reversal of the temporary difference 時差額之撥回，以及暫時差額可能 and it is probable that the temporary difference will not 不會於可見將來撥回則除外。遞延 reverse in the foreseeable future.</t>
        </is>
      </c>
    </row>
    <row r="65">
      <c r="A65" s="9" t="inlineStr">
        <is>
          <t>Intangible Assets &amp; Goodwill</t>
        </is>
      </c>
      <c r="B65" s="9" t="inlineStr">
        <is>
          <t>無形資產及商譽</t>
        </is>
      </c>
      <c r="C65" s="20" t="inlineStr">
        <is>
          <t>high</t>
        </is>
      </c>
      <c r="D65" s="12" t="inlineStr">
        <is>
          <t>可使用年期</t>
        </is>
      </c>
      <c r="E65" s="12" t="inlineStr">
        <is>
          <t>PDF p.164 (印刷頁 163)</t>
        </is>
      </c>
      <c r="F65" s="12" t="inlineStr">
        <is>
          <t>less their residual values over their estimated useful 年期剩餘價值，以直線法確認。估 lives, using the straight-line method. The estimated useful 計可使用年期、剩餘價值及折舊方 lives, residual values and depreciation method are 法於各報告期末進行審閱，而任何 reviewed at the end of each reporting period, with the 估計變動之影響則按前瞻基準入賬。 effect of any changes in estimate accounted for on a prospective basis. The estimated useful lives by class of assets are as follows: 按資產類別劃分的估計可使用年期 如下： Leasehold properties 50 years or over the lease 租賃物業 50年或租賃期內 terms, whichever is a （以較短期間 s</t>
        </is>
      </c>
    </row>
    <row r="66">
      <c r="A66" s="9" t="inlineStr">
        <is>
          <t>Intangible Assets &amp; Goodwill</t>
        </is>
      </c>
      <c r="B66" s="9" t="inlineStr">
        <is>
          <t>無形資產及商譽</t>
        </is>
      </c>
      <c r="C66" s="20" t="inlineStr">
        <is>
          <t>high</t>
        </is>
      </c>
      <c r="D66" s="12" t="inlineStr">
        <is>
          <t>intangible asset</t>
        </is>
      </c>
      <c r="E66" s="12" t="inlineStr">
        <is>
          <t>PDF p.165 (印刷頁 164)</t>
        </is>
      </c>
      <c r="F66" s="12" t="inlineStr">
        <is>
          <t>終止確認物業期間計入 carrying amount of the asset) is included in profit or loss 損益。 in the period in which the property is derecognised. 3.15 Intangible assets 3.15 無形資產 Intangible assets acquired separately 分開收購的無形資產 Intangible assets with finite useful lives that are acquired 分開收購及具備有限可使用年期之 separately are carried at cost less accumulated 無形資產按成本減累計攤銷及任何 amortisation and any accumulated impairment losses. 累計減值虧損列賬。 Amortisation for intangible assets with finite useful lives 具備有限可使用年期之無形資產攤 is recognised on a straight-line basis over t</t>
        </is>
      </c>
    </row>
    <row r="67">
      <c r="A67" s="9" t="inlineStr">
        <is>
          <t>Intangible Assets &amp; Goodwill</t>
        </is>
      </c>
      <c r="B67" s="9" t="inlineStr">
        <is>
          <t>無形資產及商譽</t>
        </is>
      </c>
      <c r="C67" s="20" t="inlineStr">
        <is>
          <t>high</t>
        </is>
      </c>
      <c r="D67" s="12" t="inlineStr">
        <is>
          <t>intangible asset</t>
        </is>
      </c>
      <c r="E67" s="12" t="inlineStr">
        <is>
          <t>PDF p.166 (印刷頁 165)</t>
        </is>
      </c>
      <c r="F67" s="12" t="inlineStr">
        <is>
          <t>PARATION OF CONSOLIDATED 3 編製合併財務報表的基準及重 FINANCIAL STATEMENTS AND MATERIAL 大會計政策資料（續） ACCOUNTING POLICY INFORMATION (Continued) 3.15 Intangible assets (Continued) 3.15 無形資產（續） Intangible assets acquired separately (Continued) 分開收購的無形資產（續） Money lending license 放債人牌照 The Group’s money lending license has a finite useful life 本集團的放債人牌照設有有限可使 and is carried at cost less accumulated amortisation and 用年期，並按成本減累計攤銷及累 accumulated impairment. Amortisation is calculated using 計減值列賬。攤銷使用直線法計 the straight-line method to allocate the cost</t>
        </is>
      </c>
    </row>
    <row r="68">
      <c r="A68" s="9" t="inlineStr">
        <is>
          <t>Intangible Assets &amp; Goodwill</t>
        </is>
      </c>
      <c r="B68" s="9" t="inlineStr">
        <is>
          <t>無形資產及商譽</t>
        </is>
      </c>
      <c r="C68" s="20" t="inlineStr">
        <is>
          <t>high</t>
        </is>
      </c>
      <c r="D68" s="12" t="inlineStr">
        <is>
          <t>intangible asset</t>
        </is>
      </c>
      <c r="E68" s="12" t="inlineStr">
        <is>
          <t>PDF p.167 (印刷頁 166)</t>
        </is>
      </c>
      <c r="F68" s="12" t="inlineStr">
        <is>
          <t>INFORMATION (Continued) 3.16 Impairment on property, plant and 3.16 物業、廠房及設備、使用權資產 equipment, right-of-use assets and 及無形資產（商譽除外）的減值 intangible assets other than goodwill At the end of the reporting period, the Group reviews 於報告期末，本集團審閱其具有限 the carrying amounts of its property, plant and 可使用年期的物業、廠房及設備、 equipment, right-of-use assets and intangible assets with 使用權資產及無形資產的賬面值， finite useful lives to determine whether there is any 以確定有否任何跡象顯示該等資產 indication that these assets have suffered an impairment 已出現減值虧損。倘有任何該等跡 loss. If an</t>
        </is>
      </c>
    </row>
    <row r="69">
      <c r="A69" s="9" t="inlineStr">
        <is>
          <t>Intangible Assets &amp; Goodwill</t>
        </is>
      </c>
      <c r="B69" s="9" t="inlineStr">
        <is>
          <t>無形資產及商譽</t>
        </is>
      </c>
      <c r="C69" s="20" t="inlineStr">
        <is>
          <t>high</t>
        </is>
      </c>
      <c r="D69" s="12" t="inlineStr">
        <is>
          <t>intangible asset</t>
        </is>
      </c>
      <c r="E69" s="12" t="inlineStr">
        <is>
          <t>PDF p.168 (印刷頁 167)</t>
        </is>
      </c>
      <c r="F69" s="12" t="inlineStr">
        <is>
          <t>INFORMATION (Continued) 3.16 Impairment on property, plant and 3.16 物業、廠房及設備、使用權資產 equipment, right-of-use assets and 及無形資產（商譽除外）的減值 intangible assets other than goodwill （續） (Continued) If the recoverable amount of an asset (or a cash- 倘估計資產（或現金產生單位）的可 generating unit) is estimated to be less than its carrying 收回金額低於其賬面值，則該資產 amount, the carrying amount of the asset (or a cash- （或現金產生單位）的賬面值須扣減 generating unit) is reduced to its recoverable amount. For 至其可收回金額。就未能按合理一 corporate assets or portion of corporate assets which 致基準分配</t>
        </is>
      </c>
    </row>
    <row r="70">
      <c r="A70" s="9" t="inlineStr">
        <is>
          <t>Intangible Assets &amp; Goodwill</t>
        </is>
      </c>
      <c r="B70" s="9" t="inlineStr">
        <is>
          <t>無形資產及商譽</t>
        </is>
      </c>
      <c r="C70" s="20" t="inlineStr">
        <is>
          <t>high</t>
        </is>
      </c>
      <c r="D70" s="12" t="inlineStr">
        <is>
          <t>攤銷</t>
        </is>
      </c>
      <c r="E70" s="12" t="inlineStr">
        <is>
          <t>PDF p.171 (印刷頁 170)</t>
        </is>
      </c>
      <c r="F70" s="12" t="inlineStr">
        <is>
          <t>fective interest method is a method of calculating 實際利率法乃計算金融資產或金融 the amortised cost of a financial asset or financial liability 負債的攤銷成本以及於有關期間攤 and of allocating interest income and interest expense 分利息收入及利息開支的方法。實 over the relevant period. The effective interest rate is the 際利率乃將金融資產或金融負債的 rate that exactly discounts estimated future cash receipts 預計年期或（如適用）較短期間的估 and payments (including all fees and points paid or 計未來現金收入及付款（包括構成 received that form an integral part of the effective 實際利率組成部分的所有已付或已 interest rate, transaction</t>
        </is>
      </c>
    </row>
    <row r="71">
      <c r="A71" s="9" t="inlineStr">
        <is>
          <t>Intangible Assets &amp; Goodwill</t>
        </is>
      </c>
      <c r="B71" s="9" t="inlineStr">
        <is>
          <t>無形資產及商譽</t>
        </is>
      </c>
      <c r="C71" s="20" t="inlineStr">
        <is>
          <t>high</t>
        </is>
      </c>
      <c r="D71" s="12" t="inlineStr">
        <is>
          <t>攤銷</t>
        </is>
      </c>
      <c r="E71" s="12" t="inlineStr">
        <is>
          <t>PDF p.172 (印刷頁 171)</t>
        </is>
      </c>
      <c r="F71" s="12" t="inlineStr">
        <is>
          <t>ash 信貸調整的實際利率乃透過將估計 flows, including expected credit losses, to the amortised 未來現金流量（包括預期信貸虧損） cost on initial recognition. 折現至初步確認時的攤銷成本計算。 Financial assets 金融資產 All regular way purchases or sales of financial assets are 所有正常情況下買賣的金融資產均 recognised and derecognised on a trade date basis. 於交易日確認及終止確認。正常情 Regular way purchases or sales are purchases or sales of 況下之買賣指在市場法規或慣例所 financial assets that require delivery of assets within the 訂的時限內交付資產的金融資產買 time frame established by regulation or convention in the 賣。 market place. All</t>
        </is>
      </c>
    </row>
    <row r="72">
      <c r="A72" s="9" t="inlineStr">
        <is>
          <t>Intangible Assets &amp; Goodwill</t>
        </is>
      </c>
      <c r="B72" s="9" t="inlineStr">
        <is>
          <t>無形資產及商譽</t>
        </is>
      </c>
      <c r="C72" s="20" t="inlineStr">
        <is>
          <t>high</t>
        </is>
      </c>
      <c r="D72" s="12" t="inlineStr">
        <is>
          <t>攤銷</t>
        </is>
      </c>
      <c r="E72" s="12" t="inlineStr">
        <is>
          <t>PDF p.173 (印刷頁 172)</t>
        </is>
      </c>
      <c r="F72" s="12" t="inlineStr">
        <is>
          <t>幅減少會計 financial asset that are required to be measured at the 錯配，本集團可不可撤銷地將須按 amortised cost or FVTOCI as measured at FVTPL if doing 攤銷成本或按公平值計入其他綜合 so eliminates or significantly reduces an accounting 收入計量的金融資產指定為按公平 mismatch. 值計入損益計量。 172</t>
        </is>
      </c>
    </row>
    <row r="73">
      <c r="A73" s="9" t="inlineStr">
        <is>
          <t>Intangible Assets &amp; Goodwill</t>
        </is>
      </c>
      <c r="B73" s="9" t="inlineStr">
        <is>
          <t>無形資產及商譽</t>
        </is>
      </c>
      <c r="C73" s="20" t="inlineStr">
        <is>
          <t>high</t>
        </is>
      </c>
      <c r="D73" s="12" t="inlineStr">
        <is>
          <t>攤銷</t>
        </is>
      </c>
      <c r="E73" s="12" t="inlineStr">
        <is>
          <t>PDF p.174 (印刷頁 173)</t>
        </is>
      </c>
      <c r="F73" s="12" t="inlineStr">
        <is>
          <t>Classification and subsequent measurement of 金融資產的分類及後續計量（續） financial assets (Continued) (i) Amortised cost and interest income (i) 攤銷成本及利息收入 Interest income is recognised using the effective 其後按攤銷成本及按公平值計 interest method for financial assets measured 入其他綜合收入計量的金融資 subsequently at amortised cost and at FVTOCI. 產的利息收入乃採用實際利率 Interest income is calculated by applying the 法確認。利息收入按金融資產 effective interest rate to the gross carrying amount 賬面總值應用實際利率計算， of a financial asset, except for financial assets that 惟其後已信貸減值的金融資產 have subse</t>
        </is>
      </c>
    </row>
    <row r="74">
      <c r="A74" s="9" t="inlineStr">
        <is>
          <t>Intangible Assets &amp; Goodwill</t>
        </is>
      </c>
      <c r="B74" s="9" t="inlineStr">
        <is>
          <t>無形資產及商譽</t>
        </is>
      </c>
      <c r="C74" s="20" t="inlineStr">
        <is>
          <t>high</t>
        </is>
      </c>
      <c r="D74" s="12" t="inlineStr">
        <is>
          <t>攤銷</t>
        </is>
      </c>
      <c r="E74" s="12" t="inlineStr">
        <is>
          <t>PDF p.176 (印刷頁 175)</t>
        </is>
      </c>
      <c r="F74" s="12" t="inlineStr">
        <is>
          <t>ancial assets (Continued) (iii) Financial assets at FVTPL (iii) 按公平值計入損益的金融資產 Financial assets that do not meet the criteria for 不符合按攤銷成本或按公平值 being measured at amortised cost or FVTOCI or 計入其他綜合收入或指定為按 designated as FVTOCI are measured at FVTPL. 公平值計入其他綜合收入計量 準則的金融資產，乃按公平值 計入損益計量。 Financial assets at FVTPL are measured at fair value 按公平值計入損益的金融資產 at the end of each reporting period, with any fair 於各報告期末按公平值計量， value gains or losses recognised in profit or loss. 任何公平值收益或虧損於損益 The net gain or loss recognised in profit or loss 確認</t>
        </is>
      </c>
    </row>
    <row r="75">
      <c r="A75" s="9" t="inlineStr">
        <is>
          <t>Intangible Assets &amp; Goodwill</t>
        </is>
      </c>
      <c r="B75" s="9" t="inlineStr">
        <is>
          <t>無形資產及商譽</t>
        </is>
      </c>
      <c r="C75" s="20" t="inlineStr">
        <is>
          <t>high</t>
        </is>
      </c>
      <c r="D75" s="12" t="inlineStr">
        <is>
          <t>攤銷</t>
        </is>
      </c>
      <c r="E75" s="12" t="inlineStr">
        <is>
          <t>PDF p.184 (印刷頁 183)</t>
        </is>
      </c>
      <c r="F75" s="12" t="inlineStr">
        <is>
          <t>ent and recognition of ECL (Continued) (v) 預期信貸虧損的計量及確認 （續） General approach 一般方法 Financial assets at amortised cost are subject to 按攤銷成本計量的金融資產按 impairment under the general approach and they 一般方法計提減值，除貿易應 are classified within the following stages for 收賬款採用簡化方法外，其分 measurement of ECLs except for trade receivables 類為下列階段以計量預期信貸 which apply the simplified approach as detailed 虧損，詳情如下。 below. Stage 1 — Financial instruments for which credit 第一階段 — 信貸風險自初步 risk has not increased significantly since 確認以來並無顯 initial recognition and</t>
        </is>
      </c>
    </row>
    <row r="76">
      <c r="A76" s="9" t="inlineStr">
        <is>
          <t>Intangible Assets &amp; Goodwill</t>
        </is>
      </c>
      <c r="B76" s="9" t="inlineStr">
        <is>
          <t>無形資產及商譽</t>
        </is>
      </c>
      <c r="C76" s="20" t="inlineStr">
        <is>
          <t>high</t>
        </is>
      </c>
      <c r="D76" s="12" t="inlineStr">
        <is>
          <t>攤銷</t>
        </is>
      </c>
      <c r="E76" s="12" t="inlineStr">
        <is>
          <t>PDF p.185 (印刷頁 184)</t>
        </is>
      </c>
      <c r="F76" s="12" t="inlineStr">
        <is>
          <t>算，除非該金融資產發生 financial asset is credit-impaired, in which case 信貸減值，在此情況下，利息 interest income is calculated based on amortised 收入按金融資產的攤銷成本計 cost of the financial asset. 算。 The Group recognises an impairment gain or loss in 本集團透過調整金融工具的賬 profit or loss for all financial instruments by 面值，於損益確認所有金融工 adjusting their carrying amount, with the exception 具的減值收益或虧損，惟應收 of loan receivables, trade receivables, cash client 貸款、貿易應收賬款、應收現 receivables and margin client receivables where the 金客戶款項及應收保證金客戶 corresponding adjustment is recognise</t>
        </is>
      </c>
    </row>
    <row r="77">
      <c r="A77" s="9" t="inlineStr">
        <is>
          <t>Intangible Assets &amp; Goodwill</t>
        </is>
      </c>
      <c r="B77" s="9" t="inlineStr">
        <is>
          <t>無形資產及商譽</t>
        </is>
      </c>
      <c r="C77" s="20" t="inlineStr">
        <is>
          <t>high</t>
        </is>
      </c>
      <c r="D77" s="12" t="inlineStr">
        <is>
          <t>攤銷</t>
        </is>
      </c>
      <c r="E77" s="12" t="inlineStr">
        <is>
          <t>PDF p.186 (印刷頁 185)</t>
        </is>
      </c>
      <c r="F77" s="12" t="inlineStr">
        <is>
          <t>spot rate at the 即期匯率換算。具體而言： end of each reporting period. Specifically: • For financial assets measured at amortised cost that • 就按攤銷成本計量且不屬於指 are not part of a designated hedging relationship, 定對沖關係一部分的金融資產 exchange differences are recognised in profit or 而言，匯兌差額於損益的「其 loss in the “other income and gains, net” line item 他收入及收益，淨額」項目（附 (note 8) as part of the net foreign exchange 註8）中確認，作為外匯差額 differences; and 淨額的一部分；及 • For equity instruments measured at FVTOCI, • 就按公平值計入其他綜合收入 exchange differences are recognised in other 計量</t>
        </is>
      </c>
    </row>
    <row r="78">
      <c r="A78" s="9" t="inlineStr">
        <is>
          <t>Intangible Assets &amp; Goodwill</t>
        </is>
      </c>
      <c r="B78" s="9" t="inlineStr">
        <is>
          <t>無形資產及商譽</t>
        </is>
      </c>
      <c r="C78" s="20" t="inlineStr">
        <is>
          <t>high</t>
        </is>
      </c>
      <c r="D78" s="12" t="inlineStr">
        <is>
          <t>攤銷</t>
        </is>
      </c>
      <c r="E78" s="12" t="inlineStr">
        <is>
          <t>PDF p.187 (印刷頁 186)</t>
        </is>
      </c>
      <c r="F78" s="12" t="inlineStr">
        <is>
          <t>ny are recognised at the proceeds received, net of 具按已收所得款項扣除直接發行成 direct issue costs. 本確認。 Financial liabilities at amortised cost 按攤銷成本計量的金融負債 Financial liabilities including borrowings, account 包括借貸、應付賬款、其他應付款 payables, and other payables and accrued expenses are 項及應計費用的金融負債其後採用 subsequently measured at amortised cost, using the 實際利率法按攤銷成本計量。 effective interest method. 186</t>
        </is>
      </c>
    </row>
    <row r="79">
      <c r="A79" s="9" t="inlineStr">
        <is>
          <t>Intangible Assets &amp; Goodwill</t>
        </is>
      </c>
      <c r="B79" s="9" t="inlineStr">
        <is>
          <t>無形資產及商譽</t>
        </is>
      </c>
      <c r="C79" s="20" t="inlineStr">
        <is>
          <t>high</t>
        </is>
      </c>
      <c r="D79" s="12" t="inlineStr">
        <is>
          <t>攤銷</t>
        </is>
      </c>
      <c r="E79" s="12" t="inlineStr">
        <is>
          <t>PDF p.188 (印刷頁 187)</t>
        </is>
      </c>
      <c r="F79" s="12" t="inlineStr">
        <is>
          <t>損 For financial liabilities that are denominated in a foreign 於各報告期末，就以外幣計值並按 currency and are measured at amortised cost at the end 攤銷成本計量的金融負債而言，匯 of each reporting period, the foreign exchange gains and 兌收益及虧損乃根據該等工具的攤 losses are determined based on the amortised cost of the 銷成本釐定。該等匯兌收益及虧損 instruments. These foreign exchange gains and losses are 於損益的「其他收入及收益，淨額」 recognised in the “other income and gains, net” line 項目（附註8）中確認，作為不屬於 item in profit or loss (note 8) as part of net foreign 指定對沖關係一部分的金融負債的 exchange differences fo</t>
        </is>
      </c>
    </row>
    <row r="80">
      <c r="A80" s="9" t="inlineStr">
        <is>
          <t>Intangible Assets &amp; Goodwill</t>
        </is>
      </c>
      <c r="B80" s="9" t="inlineStr">
        <is>
          <t>無形資產及商譽</t>
        </is>
      </c>
      <c r="C80" s="20" t="inlineStr">
        <is>
          <t>high</t>
        </is>
      </c>
      <c r="D80" s="12" t="inlineStr">
        <is>
          <t>攤銷</t>
        </is>
      </c>
      <c r="E80" s="12" t="inlineStr">
        <is>
          <t>PDF p.189 (印刷頁 188)</t>
        </is>
      </c>
      <c r="F80" s="12" t="inlineStr">
        <is>
          <t>d and 則嵌入該等合約之衍生工具不予分 subsequently measured in its entirety as either amortised 拆。整份混合合約分類並其後適當 cost or fair value as appropriate. 地按攤銷成本或公平值作整體計量。 Derivatives embedded in non-derivative host contracts 倘嵌入非衍生主合約（並非香港財 that are not financial assets within the scope of HKFRS 9 務報告準則第9號範圍內之金融資 are treated as separate derivatives when they meet the 產）之衍生工具符合衍生工具之釋 definition of a derivative, their risks and characteristics 義、其風險及特點與主合約之風險 are not closely related to those of the host contracts and 及特點並非緊密相關，且主合約並 the host contracts</t>
        </is>
      </c>
    </row>
    <row r="81">
      <c r="A81" s="9" t="inlineStr">
        <is>
          <t>Intangible Assets &amp; Goodwill</t>
        </is>
      </c>
      <c r="B81" s="9" t="inlineStr">
        <is>
          <t>無形資產及商譽</t>
        </is>
      </c>
      <c r="C81" s="20" t="inlineStr">
        <is>
          <t>high</t>
        </is>
      </c>
      <c r="D81" s="12" t="inlineStr">
        <is>
          <t>goodwill</t>
        </is>
      </c>
      <c r="E81" s="12" t="inlineStr">
        <is>
          <t>PDF p.194 (印刷頁 193)</t>
        </is>
      </c>
      <c r="F81" s="12" t="inlineStr">
        <is>
          <t>measured at amortised cost is disclosed in 金融資產的預期信貸虧損的資料於 Notes 20, 21, 22 and 36.2. 附註20、21、22及36.2披露。 (c) Estimated impairment of goodwill (c) 估計商譽減值 Determining whether goodwill is impaired requires an 釐定商譽是否出現減值時須估計獲 estimation of the recoverable amount of the cash- 分配商譽的現金產生單位的可收回 generating unit to which goodwill has been allocated, 金額，亦即使用價值或公平值減出 which is the higher of the value in use or fair value less 售成本兩者中的較高者。本集團計 costs of disposal. The value in use calculation requires the 算使用價值時須就預期源自該現金 Group to estimate the f</t>
        </is>
      </c>
    </row>
    <row r="82">
      <c r="A82" s="9" t="inlineStr">
        <is>
          <t>Intangible Assets &amp; Goodwill</t>
        </is>
      </c>
      <c r="B82" s="9" t="inlineStr">
        <is>
          <t>無形資產及商譽</t>
        </is>
      </c>
      <c r="C82" s="20" t="inlineStr">
        <is>
          <t>high</t>
        </is>
      </c>
      <c r="D82" s="12" t="inlineStr">
        <is>
          <t>intangible asset</t>
        </is>
      </c>
      <c r="E82" s="12" t="inlineStr">
        <is>
          <t>PDF p.200 (印刷頁 199)</t>
        </is>
      </c>
      <c r="F82" s="12" t="inlineStr">
        <is>
          <t>務及家族辦公室服務 services Segment assets consist primarily of certain property, plant and 分部資產主要包括若干物業、廠房及設 equipment, right-of-use assets, intangible assets, inventories, 備、使用權資產、無形資產、存貨、應收 account receivables, loan receivables, certain deposits, 賬款、應收貸款、若干按金、預付款項及 prepayments and other receivables, certain other financial 其他應收款項、若干其他金融資產、衍生 assets, derivative financial instruments, pledged deposits, 金融工具、已抵押存款、若干現金及現金 certain cash and cash equivalents and bank balances held on 等價物及代客戶持有之銀行結餘，但不包 behalf of clients. They exclude defer</t>
        </is>
      </c>
    </row>
    <row r="83">
      <c r="A83" s="9" t="inlineStr">
        <is>
          <t>Intangible Assets &amp; Goodwill</t>
        </is>
      </c>
      <c r="B83" s="9" t="inlineStr">
        <is>
          <t>無形資產及商譽</t>
        </is>
      </c>
      <c r="C83" s="20" t="inlineStr">
        <is>
          <t>high</t>
        </is>
      </c>
      <c r="D83" s="12" t="inlineStr">
        <is>
          <t>amortisation</t>
        </is>
      </c>
      <c r="E83" s="12" t="inlineStr">
        <is>
          <t>PDF p.201 (印刷頁 200)</t>
        </is>
      </c>
      <c r="F83" s="12" t="inlineStr">
        <is>
          <t>t losses under the 預期信貸虧損模式下的 expected credit loss model, net 減值虧損，扣除 of reversal 撥回 993 (349) (2,857) (27) (2,240) Depreciation and amortisation 折舊及攤銷 (1,886) (3,729) (1,378) (272) (7,265) Gain on bargain purchase 議價購買收益 – – 3,540 – 3,540 Finance costs 財務成本 (117) (82) (434) – (633) Other income and gains, net 其他收入及收益，淨額 29,626 483 8,817 324 39,250 Segment results 分部業績 29,341 5,164 11,218 17,170 62,893 200</t>
        </is>
      </c>
    </row>
    <row r="84">
      <c r="A84" s="9" t="inlineStr">
        <is>
          <t>Intangible Assets &amp; Goodwill</t>
        </is>
      </c>
      <c r="B84" s="9" t="inlineStr">
        <is>
          <t>無形資產及商譽</t>
        </is>
      </c>
      <c r="C84" s="20" t="inlineStr">
        <is>
          <t>high</t>
        </is>
      </c>
      <c r="D84" s="12" t="inlineStr">
        <is>
          <t>amortisation</t>
        </is>
      </c>
      <c r="E84" s="12" t="inlineStr">
        <is>
          <t>PDF p.203 (印刷頁 202)</t>
        </is>
      </c>
      <c r="F84" s="12" t="inlineStr">
        <is>
          <t>al 回 (783) 158 2,777 – 2,152 Loss on disposal of property, plant 出售物業、廠房及設備 and equipment 的虧損 – (2,589) – – (2,589) Depreciation and amortisation 折舊及攤銷 (53) (4,059) (1,067) – (5,179) Finance costs 財務成本 – (474) (634) – (1,108) Other income and gains, net 其他收入及收益，淨額 665 903 1,912 20 3,500 Segment results 分部業績 1,880 4,037 16,291 12,325 34,533 202</t>
        </is>
      </c>
    </row>
    <row r="85">
      <c r="A85" s="9" t="inlineStr">
        <is>
          <t>Intangible Assets &amp; Goodwill</t>
        </is>
      </c>
      <c r="B85" s="9" t="inlineStr">
        <is>
          <t>無形資產及商譽</t>
        </is>
      </c>
      <c r="C85" s="20" t="inlineStr">
        <is>
          <t>high</t>
        </is>
      </c>
      <c r="D85" s="12" t="inlineStr">
        <is>
          <t>goodwill</t>
        </is>
      </c>
      <c r="E85" s="12" t="inlineStr">
        <is>
          <t>PDF p.204 (印刷頁 203)</t>
        </is>
      </c>
      <c r="F85" s="12" t="inlineStr">
        <is>
          <t>K$’000 HK$’000 HK$’000 千港元 千港元 千港元 千港元 千港元 Reconciliation between segment 分部業績與年度虧損 results and loss for the year: 對賬： Impairment of goodwill 商譽減值 – (8,035) – – (8,035) Impairment of other intangible 其他無形資產減值 assets – (657) – – (657) Change in fair value upon transfer 由物業、廠房及設備 from property, plant and 轉撥至投資物業後 equipment to investment 的公平值變動 properties (56,034) Unallocated finance costs 未分配融資成本 (8,036) Share of results of an associate 應佔一間聯營公司業績 (181) Unallocated income and expenses, 未分配收入及開支， net 淨額 (33,711) Loss before income</t>
        </is>
      </c>
    </row>
    <row r="86">
      <c r="A86" s="9" t="inlineStr">
        <is>
          <t>Intangible Assets &amp; Goodwill</t>
        </is>
      </c>
      <c r="B86" s="9" t="inlineStr">
        <is>
          <t>無形資產及商譽</t>
        </is>
      </c>
      <c r="C86" s="20" t="inlineStr">
        <is>
          <t>high</t>
        </is>
      </c>
      <c r="D86" s="12" t="inlineStr">
        <is>
          <t>amortisation</t>
        </is>
      </c>
      <c r="E86" s="12" t="inlineStr">
        <is>
          <t>PDF p.207 (印刷頁 206)</t>
        </is>
      </c>
      <c r="F86" s="12" t="inlineStr">
        <is>
          <t>property, 物業、廠房及設備 plant and equipment 折舊 1,172 612 251 8 2,043 Depreciation of right-of-use 使用權資產折舊 assets 714 1,161 1,127 – 3,002 Amortisation of intangible 無形資產攤銷 assets – 1,956 – 264 2,220 Finance income 財務收入 7 4 1,373 25 1,409 Interest expense on bank and 銀行及其他借貸之 other borrowings 利息費用 60 – 342 – 402 Interest expenses on lease 租賃負債之利息 liabilities 費用 57 82 92 – 231 57 82 92 – 231 206</t>
        </is>
      </c>
    </row>
    <row r="87">
      <c r="A87" s="9" t="inlineStr">
        <is>
          <t>Intangible Assets &amp; Goodwill</t>
        </is>
      </c>
      <c r="B87" s="9" t="inlineStr">
        <is>
          <t>無形資產及商譽</t>
        </is>
      </c>
      <c r="C87" s="20" t="inlineStr">
        <is>
          <t>high</t>
        </is>
      </c>
      <c r="D87" s="12" t="inlineStr">
        <is>
          <t>amortisation</t>
        </is>
      </c>
      <c r="E87" s="12" t="inlineStr">
        <is>
          <t>PDF p.208 (印刷頁 207)</t>
        </is>
      </c>
      <c r="F87" s="12" t="inlineStr">
        <is>
          <t>on of property, 物業、廠房及設備 plant and equipment 折舊 – 1,068 234 – 1,302 Depreciation of right-of-use 使用權資產折舊 assets 53 2,153 833 – 3,039 Amortisation of intangible 無形資產攤銷 assets – 838 – – 838 Finance income 財務收入 67 76 197 10 350 Interest expense on bank and 銀行及其他借貸之 other borrowings 利息費用 – 316 547 – 863 Interest expenses on lease 租賃負債之利息 liabilities 費用 – 158 87 – 245 207</t>
        </is>
      </c>
    </row>
    <row r="88">
      <c r="A88" s="9" t="inlineStr">
        <is>
          <t>Intangible Assets &amp; Goodwill</t>
        </is>
      </c>
      <c r="B88" s="9" t="inlineStr">
        <is>
          <t>無形資產及商譽</t>
        </is>
      </c>
      <c r="C88" s="20" t="inlineStr">
        <is>
          <t>high</t>
        </is>
      </c>
      <c r="D88" s="12" t="inlineStr">
        <is>
          <t>intangible asset</t>
        </is>
      </c>
      <c r="E88" s="12" t="inlineStr">
        <is>
          <t>PDF p.214 (印刷頁 213)</t>
        </is>
      </c>
      <c r="F88" s="12" t="inlineStr">
        <is>
          <t>設備折舊 equipment (Note 13) （附註13） 3,459 10,193 Depreciation of right-of-use assets 使用權資產折舊（附註15） (Note 15) 3,002 3,039 Amortisation of intangible assets 無形資產攤銷（附註16） (Note 16) 2,220 838 Short-term lease rentals of premises 物業短期租賃之租金 (Note 15) （附註15） 5,441 6,761 11 INCOME TAX EXPENSE 11 所得稅開支 Year ended 31 March 截至三月三十一日止年度 2026 2025 二零二六年 二零二五年 HK$’000 HK$’000 千港元 千港元 Current income tax 當期所得稅 — Hong Kong Profits Tax — 香港利得稅 588 1,889 — PRC Enterprise Income Tax — 中國企業所得稅 (“EIT”) （「企業所得稅」） 39 – 627 1,889 Under-provision in prior y</t>
        </is>
      </c>
    </row>
    <row r="89">
      <c r="A89" s="9" t="inlineStr">
        <is>
          <t>Investment Properties</t>
        </is>
      </c>
      <c r="B89" s="9" t="inlineStr">
        <is>
          <t>投資物業</t>
        </is>
      </c>
      <c r="C89" s="20" t="inlineStr">
        <is>
          <t>high</t>
        </is>
      </c>
      <c r="D89" s="12" t="inlineStr">
        <is>
          <t>investment property</t>
        </is>
      </c>
      <c r="E89" s="12" t="inlineStr">
        <is>
          <t>PDF p.57 (印刷頁 56)</t>
        </is>
      </c>
      <c r="F89" s="12" t="inlineStr">
        <is>
          <t>lue of pledged securities from clients. 致。 Change on fair value upon transfer from property, 物業、廠房及設備轉撥至投資物業後 plant and equipment to investment property 的公平值變動 For the year ended 31 March 2025, the Group transferred certain 截至二零二五年三月三十一日止年度，本集團 property, plant and equipment to investment properties with the 將部分物業、廠房及設備轉撥至投資物業，總 aggregate carrying amount of approximately HK$179.5 million 賬面值約為179,500,000港元，導致公平值變 resulting in loss on change in fair value of approximately HK$56.0 動虧損約56,000,000港元。 million. The main reason for the</t>
        </is>
      </c>
    </row>
    <row r="90">
      <c r="A90" s="9" t="inlineStr">
        <is>
          <t>Investment Properties</t>
        </is>
      </c>
      <c r="B90" s="9" t="inlineStr">
        <is>
          <t>投資物業</t>
        </is>
      </c>
      <c r="C90" s="20" t="inlineStr">
        <is>
          <t>high</t>
        </is>
      </c>
      <c r="D90" s="12" t="inlineStr">
        <is>
          <t>投資物業</t>
        </is>
      </c>
      <c r="E90" s="12" t="inlineStr">
        <is>
          <t>PDF p.122 (印刷頁 121)</t>
        </is>
      </c>
      <c r="F90" s="12" t="inlineStr">
        <is>
          <t>del, net of reversal 減值虧損，扣除撥回 7 (2,240) 2,152 Change in fair value upon transfer from 由物業、廠房及設備 property, plant and equipment to 轉撥至投資物業後 investment properties 的公平值變動 14 – (56,034) Loss on disposal of property, plant and 出售物業、廠房及設備 equipment 的虧損 – (2,726) Share of results from an associate 應佔一間聯營公司業績 18 (220) (181) Impairment of goodwill 商譽減值 16 – (8,035) Impairment of other intangible assets 其他無形資產減值 16 – (657) Gain on bargain purchase 議價購買收益 40 3,540 – Change in fair value on investment 投資物業公平值變動 properties 14 (2,500) – Oper</t>
        </is>
      </c>
    </row>
    <row r="91">
      <c r="A91" s="9" t="inlineStr">
        <is>
          <t>Investment Properties</t>
        </is>
      </c>
      <c r="B91" s="9" t="inlineStr">
        <is>
          <t>投資物業</t>
        </is>
      </c>
      <c r="C91" s="20" t="inlineStr">
        <is>
          <t>high</t>
        </is>
      </c>
      <c r="D91" s="12" t="inlineStr">
        <is>
          <t>投資物業</t>
        </is>
      </c>
      <c r="E91" s="12" t="inlineStr">
        <is>
          <t>PDF p.124 (印刷頁 123)</t>
        </is>
      </c>
      <c r="F91" s="12" t="inlineStr">
        <is>
          <t>0 HK$’000 附註 千港元 千港元 ASSETS 資產 Non-current assets 非流動資產 Property, plant and equipment 物業、廠房及設備 13 12,864 8,003 Investment properties 投資物業 14 121,000 123,500 Right-of-use assets 使用權資產 15 5,162 6,008 Intangible assets 無形資產 16 22,548 22,937 Other financial assets 其他金融資產 23 817 4,887 Interests in an associate 於一間聯營公司之權益 18 259 479 Loan receivables 應收貸款 20 1,502 12,216 Deposits, prepayments and 按金、預付款項及 other receivables 其他應收款項 22 2,400 3,010 Deferred tax assets 遞延稅項資產 32 17,412 17,374 183,964 198,414 Current assets 流動資產 Inventories</t>
        </is>
      </c>
    </row>
    <row r="92">
      <c r="A92" s="9" t="inlineStr">
        <is>
          <t>Investment Properties</t>
        </is>
      </c>
      <c r="B92" s="9" t="inlineStr">
        <is>
          <t>投資物業</t>
        </is>
      </c>
      <c r="C92" s="20" t="inlineStr">
        <is>
          <t>high</t>
        </is>
      </c>
      <c r="D92" s="12" t="inlineStr">
        <is>
          <t>market rent</t>
        </is>
      </c>
      <c r="E92" s="12" t="inlineStr">
        <is>
          <t>PDF p.153 (印刷頁 152)</t>
        </is>
      </c>
      <c r="F92" s="12" t="inlineStr">
        <is>
          <t>貼現率貼現經 revised discount rate at the date of reassessment. 修訂租賃付款而重新計量。 • the lease payments change due to changes in • 租賃付款因進行市場租金調查 market rental rates following a market rent review, 後市場租金有變而出現變動， in which cases the related lease liability is 於此情況下，有關租賃負債透 remeasured by discounting the revised lease 過使用初始貼現率貼現經修訂 payments using the initial discount rate. 租賃付款而重新計量。 • a lease contract is modified and the lease • 租賃合約已修改且租賃修改不 modification is not accounted for as a separate 作為單獨租賃入賬。 lease. The Group presents lease liabilities</t>
        </is>
      </c>
    </row>
    <row r="93">
      <c r="A93" s="9" t="inlineStr">
        <is>
          <t>Investment Properties</t>
        </is>
      </c>
      <c r="B93" s="9" t="inlineStr">
        <is>
          <t>投資物業</t>
        </is>
      </c>
      <c r="C93" s="20" t="inlineStr">
        <is>
          <t>high</t>
        </is>
      </c>
      <c r="D93" s="12" t="inlineStr">
        <is>
          <t>investment property</t>
        </is>
      </c>
      <c r="E93" s="12" t="inlineStr">
        <is>
          <t>PDF p.163 (印刷頁 162)</t>
        </is>
      </c>
      <c r="F93" s="12" t="inlineStr">
        <is>
          <t>st in the underlying leasehold land, the entire properties are classified as property, plant and equipment. If a property becomes an investment property because its 倘一項物業因其用途改變（由結束 use has changed as evidenced by end of owner- 業主自用證明）而成為投資物業， occupation, any resulting decrease between the carrying 則該項目的賬面值與公平值之間的 amount and the fair value of that item (including the 任何因此產生的減少於損益中確 relevant leasehold land classified as right-of-use assets) is 認，而任何因此產生的賬面值增加 recognised in profit or loss and any resulting increase in 則於其他綜合收入中確認，</t>
        </is>
      </c>
    </row>
    <row r="94">
      <c r="A94" s="9" t="inlineStr">
        <is>
          <t>Investment Properties</t>
        </is>
      </c>
      <c r="B94" s="9" t="inlineStr">
        <is>
          <t>投資物業</t>
        </is>
      </c>
      <c r="C94" s="20" t="inlineStr">
        <is>
          <t>high</t>
        </is>
      </c>
      <c r="D94" s="12" t="inlineStr">
        <is>
          <t>investment property</t>
        </is>
      </c>
      <c r="E94" s="12" t="inlineStr">
        <is>
          <t>PDF p.165 (印刷頁 164)</t>
        </is>
      </c>
      <c r="F94" s="12" t="inlineStr">
        <is>
          <t>ir value of 投資物業公平值變動產生的收益或 investment properties are included in profit or loss for the 虧損於產生期間計入損益。 period in which they arise. An investment property is derecognised upon disposal or 投資物業於出售時或當投資物業永 when the investment property is permanently withdrawn 久不再使用且預期出售不會產生未 from use and no future economic benefits are expected 來經濟利益時終止確認。終止確認 from its disposal. Any gain or loss arising on 物業產生的任何收益或虧損（按出 derecognition of the property (calculated as the 售所得款項淨額與資產賬面值的差 difference between the net disposal proceeds and the 額計算）於終止確認物</t>
        </is>
      </c>
    </row>
    <row r="95">
      <c r="A95" s="9" t="inlineStr">
        <is>
          <t>Investment Properties</t>
        </is>
      </c>
      <c r="B95" s="9" t="inlineStr">
        <is>
          <t>投資物業</t>
        </is>
      </c>
      <c r="C95" s="20" t="inlineStr">
        <is>
          <t>high</t>
        </is>
      </c>
      <c r="D95" s="12" t="inlineStr">
        <is>
          <t>投資物業</t>
        </is>
      </c>
      <c r="E95" s="12" t="inlineStr">
        <is>
          <t>PDF p.204 (印刷頁 203)</t>
        </is>
      </c>
      <c r="F95" s="12" t="inlineStr">
        <is>
          <t>rment of other intangible 其他無形資產減值 assets – (657) – – (657) Change in fair value upon transfer 由物業、廠房及設備 from property, plant and 轉撥至投資物業後 equipment to investment 的公平值變動 properties (56,034) Unallocated finance costs 未分配融資成本 (8,036) Share of results of an associate 應佔一間聯營公司業績 (181) Unallocated income and expenses, 未分配收入及開支， net 淨額 (33,711) Loss before income tax 扣除所得稅前虧損 (72,121) Income tax expense 所得稅開支 (1,689) Loss for the year 年度虧損 (73,810) Interest revenue of HK$14,163,000 (2025: HK$4,098,000) was 利息收入14,163,000港元（二零二五年： inc</t>
        </is>
      </c>
    </row>
    <row r="96">
      <c r="A96" s="9" t="inlineStr">
        <is>
          <t>Investment Properties</t>
        </is>
      </c>
      <c r="B96" s="9" t="inlineStr">
        <is>
          <t>投資物業</t>
        </is>
      </c>
      <c r="C96" s="20" t="inlineStr">
        <is>
          <t>high</t>
        </is>
      </c>
      <c r="D96" s="12" t="inlineStr">
        <is>
          <t>投資物業</t>
        </is>
      </c>
      <c r="E96" s="12" t="inlineStr">
        <is>
          <t>PDF p.206 (印刷頁 205)</t>
        </is>
      </c>
      <c r="F96" s="12" t="inlineStr">
        <is>
          <t>,309 399,037 Cash and cash equivalents 現金及現金等價物 4,249 1,473 Property, plant and equipment 物業、廠房及設備 8,281 1,782 Investment properties 投資物業 121,000 123,500 Deposits, prepayments and other 按金、預付款項及其他應 receivables 收款項 18,333 10,272 Interest in an associate 於一間聯營公司之權益 259 479 Other financial assets at fair value 按公平值計入其他綜合收入之 through other comprehensive income 其他金融資產 817 4,887 Deferred tax assets 遞延稅項資產 17,412 17,374 Other financial assets at fair value 按公平值計入損益之其他金融 through profit or loss 資產 990 890 Income tax recoverable 可收回所得稅 22</t>
        </is>
      </c>
    </row>
    <row r="97">
      <c r="A97" s="9" t="inlineStr">
        <is>
          <t>Investment Properties</t>
        </is>
      </c>
      <c r="B97" s="9" t="inlineStr">
        <is>
          <t>投資物業</t>
        </is>
      </c>
      <c r="C97" s="20" t="inlineStr">
        <is>
          <t>high</t>
        </is>
      </c>
      <c r="D97" s="12" t="inlineStr">
        <is>
          <t>投資物業</t>
        </is>
      </c>
      <c r="E97" s="12" t="inlineStr">
        <is>
          <t>PDF p.217 (印刷頁 216)</t>
        </is>
      </c>
      <c r="F97" s="12" t="inlineStr">
        <is>
          <t>0 1,589 1,331 263,734 Additions 添置 – 150 – 802 720 475 2,147 Disposals 出售 – (3,607) (360) (17) – – (3,984) Transfer to investment 轉撥至投資物業 properties (Note 14) （附註14） (241,378) – – – – – (241,378) At 31 March 2025 and 於二零二五年 1 April 2025 三月三十一日及 二零二五年四月一日 – 13,908 151 2,345 2,309 1,806 20,519 Additions 添置 – 3,062 – 4,947 295 – 8,304 Acquisition of subsidiaries 收購附屬公司 (Note 40) （附註40） – – – 19 – – 19 Disposal of a subsidiary 出售一間附屬公司 (Note 41) （附註41） – – – (79) – – (79) At 31 March 2026 於二零二六年 三月三十一日 – 16,970 151 7,232 2,604 1,80</t>
        </is>
      </c>
    </row>
    <row r="98">
      <c r="A98" s="9" t="inlineStr">
        <is>
          <t>Investment Properties</t>
        </is>
      </c>
      <c r="B98" s="9" t="inlineStr">
        <is>
          <t>投資物業</t>
        </is>
      </c>
      <c r="C98" s="20" t="inlineStr">
        <is>
          <t>high</t>
        </is>
      </c>
      <c r="D98" s="12" t="inlineStr">
        <is>
          <t>投資物業</t>
        </is>
      </c>
      <c r="E98" s="12" t="inlineStr">
        <is>
          <t>PDF p.218 (印刷頁 217)</t>
        </is>
      </c>
      <c r="F98" s="12" t="inlineStr">
        <is>
          <t>r ended 31 March 2025, the leasehold properties 於截至二零二五年三月三十一日止年度， have been transferred to investment properties (Note 14). 租賃物業已轉撥至投資物業（附註14）。 14 INVESTMENT PROPERTIES 14 投資物業 Investment properties 投資物業 HK$’000 千港元 Fair value 公平值 As at 1 April 2024 於二零二四年四月一日 – Transfer from property, plant and equipment 轉撥自物業、廠房及設備 123,500 As at 31 March 2025 and 1 April 2025 於二零二五年三月三十一日及 二零二五年四月一日 123,500 Fair value loss on investment properties 投資物業公平值虧損 (2,500) At 31 March 2026 於二零二六年三月三十一日 121,000 During the year ended 31 March 2025, le</t>
        </is>
      </c>
    </row>
    <row r="99">
      <c r="A99" s="9" t="inlineStr">
        <is>
          <t>Investment Properties</t>
        </is>
      </c>
      <c r="B99" s="9" t="inlineStr">
        <is>
          <t>投資物業</t>
        </is>
      </c>
      <c r="C99" s="20" t="inlineStr">
        <is>
          <t>high</t>
        </is>
      </c>
      <c r="D99" s="12" t="inlineStr">
        <is>
          <t>投資物業</t>
        </is>
      </c>
      <c r="E99" s="12" t="inlineStr">
        <is>
          <t>PDF p.219 (印刷頁 218)</t>
        </is>
      </c>
      <c r="F99" s="12" t="inlineStr">
        <is>
          <t>ar Group Limited 亨利加集團有限公司 Annual Report 年報 2026 NOTES TO THE CONSOLIDATED FINANCIAL STATEMENTS 合併財務報表附註 14 INVESTMENT PROPERTIES 14 投資物業（續） (Continued) In estimating the fair value of the properties, the highest and 於估計物業之公平值時，物業之最高及最 best use of the properties is their current use. 佳用途為其現時用途。 Valuation Significant unobservable Relationship of unobservable technique inputs inputs to fair value 不可觀察輸入數據與 估值技術 重大不可觀察輸入數據 公平值的關係 Office units located in Direct comparison Market unit rate, taking into An increase in the market unit</t>
        </is>
      </c>
    </row>
    <row r="100">
      <c r="A100" s="9" t="inlineStr">
        <is>
          <t>Investment Properties</t>
        </is>
      </c>
      <c r="B100" s="9" t="inlineStr">
        <is>
          <t>投資物業</t>
        </is>
      </c>
      <c r="C100" s="20" t="inlineStr">
        <is>
          <t>high</t>
        </is>
      </c>
      <c r="D100" s="12" t="inlineStr">
        <is>
          <t>投資物業</t>
        </is>
      </c>
      <c r="E100" s="12" t="inlineStr">
        <is>
          <t>PDF p.220 (印刷頁 219)</t>
        </is>
      </c>
      <c r="F100" s="12" t="inlineStr">
        <is>
          <t>Report 年報 2026 Hunlicar Group Limited 亨利加集團有限公司 NOTES TO THE CONSOLIDATED FINANCIAL STATEMENTS 合併財務報表附註 14 INVESTMENT PROPERTIES 14 投資物業（續） (Continued) The Group’s policy is to recognise transfers between levels of 本集團的政策為於發生轉移的報告期末 fair value hierarchy as at the end of the reporting period in 確認公平值層級之間的轉移。 which they occur. At 31 March 2026, the Group’s investment properties with a net 於二零二六年三月三十一日，本集團賬面 carrying amount of HK$121,000,000 (2025: HK$123,500,000) 淨值為121,000,000港元（二零二五年： were pledged to secure other borrowings gr</t>
        </is>
      </c>
    </row>
    <row r="101">
      <c r="A101" s="9" t="inlineStr">
        <is>
          <t>Investment Properties</t>
        </is>
      </c>
      <c r="B101" s="9" t="inlineStr">
        <is>
          <t>投資物業</t>
        </is>
      </c>
      <c r="C101" s="20" t="inlineStr">
        <is>
          <t>high</t>
        </is>
      </c>
      <c r="D101" s="12" t="inlineStr">
        <is>
          <t>投資物業</t>
        </is>
      </c>
      <c r="E101" s="12" t="inlineStr">
        <is>
          <t>PDF p.258 (印刷頁 257)</t>
        </is>
      </c>
      <c r="F101" s="12" t="inlineStr">
        <is>
          <t>HK$59,528,000 is secured by the Group’s investment 借貸59,528,000港元以本集團位於香港 properties situated in Hong Kong of HK$121,000,000 (Note 之投資物業121,000,000港元作抵押（附 14). As at 31 March 2026, the Group’s other borrowing of 註14）。於二零二六年三月三十一日，本 HK$1,428,000 is secured by the Group’s purchased loan 集團其他借貸1,428,000港元以本集團已 receivables of HK$6,952,000. As at 31 March 2025, the 購買應收貸款6,952,000港元作抵押。於 Group’s other borrowings of HK$60,000,000 is secured by the 二零二五年三月三十一日，本集團其他借 Group’s investment properties situated in Hong Kong of 貸60,000,000港</t>
        </is>
      </c>
    </row>
    <row r="102">
      <c r="A102" s="9" t="inlineStr">
        <is>
          <t>Investment Properties</t>
        </is>
      </c>
      <c r="B102" s="9" t="inlineStr">
        <is>
          <t>投資物業</t>
        </is>
      </c>
      <c r="C102" s="20" t="inlineStr">
        <is>
          <t>high</t>
        </is>
      </c>
      <c r="D102" s="12" t="inlineStr">
        <is>
          <t>投資物業</t>
        </is>
      </c>
      <c r="E102" s="12" t="inlineStr">
        <is>
          <t>PDF p.294 (印刷頁 293)</t>
        </is>
      </c>
      <c r="F102" s="12" t="inlineStr">
        <is>
          <t>– Fair value loss on derivative financial instruments 衍生金融工具之公平值虧損 (Note 5) （附註5） 84,418 – Fair value loss on investment properties 投資物業公平值虧損 2,500 – Impairment of inventories 存貨減值 4 – Amortisation of intangible assets (Note 16) 無形資產攤銷（附註16） 2,220 838 Loss/(gain) on disposal of property, plant and 出售物業、廠房及設備的 equipment (Note 38(b)) 虧損╱（收益） （附註38(b)） – 2,726 Exchange gains, net (Note 8) 匯兌收益，淨額（附註8） (1,867) (531) Finance income (Note 8) 財務收入（附註8） (3,729) (1,775) Finance costs (Note 9) 財務成本（附註9） 12,898 9,144 Loss on change in fa</t>
        </is>
      </c>
    </row>
    <row r="103">
      <c r="A103" s="9" t="inlineStr">
        <is>
          <t>ESG Data</t>
        </is>
      </c>
      <c r="B103" s="9" t="inlineStr">
        <is>
          <t>環境社會及管治數據</t>
        </is>
      </c>
      <c r="C103" s="9" t="inlineStr">
        <is>
          <t>medium</t>
        </is>
      </c>
      <c r="D103" s="12" t="inlineStr">
        <is>
          <t>可持續</t>
        </is>
      </c>
      <c r="E103" s="12" t="inlineStr">
        <is>
          <t>PDF p.8 (印刷頁 7)</t>
        </is>
      </c>
      <c r="F103" s="12" t="inlineStr">
        <is>
          <t>the Group is converting external challenges 能力，將外部挑戰轉化為結構性優勢，以實現 into structural advantages for sustainable development through more 可持續發展。 focused business deployment and more mature management capabilities. STEADY PERFORMANCE ACROSS FOUR CORE 四大核心業務分部表現穩定 BUSINESS SEGMENTS Computer and Electronic Products Trading Business 電腦及電子產品貿易業務分部 Segment Following our entry into Mainland China last year, our newly 繼去年進入中國內地後，我們新成立的附屬公 established subsidiary, Hunlicar (Shanghai) Technology Limited*, 司上海亨利創加科技有限公司擴大了我們在長 expanded our busi</t>
        </is>
      </c>
    </row>
    <row r="104">
      <c r="A104" s="9" t="inlineStr">
        <is>
          <t>ESG Data</t>
        </is>
      </c>
      <c r="B104" s="9" t="inlineStr">
        <is>
          <t>環境社會及管治數據</t>
        </is>
      </c>
      <c r="C104" s="9" t="inlineStr">
        <is>
          <t>medium</t>
        </is>
      </c>
      <c r="D104" s="12" t="inlineStr">
        <is>
          <t>可持續</t>
        </is>
      </c>
      <c r="E104" s="12" t="inlineStr">
        <is>
          <t>PDF p.9 (印刷頁 8)</t>
        </is>
      </c>
      <c r="F104" s="12" t="inlineStr">
        <is>
          <t>tomers improve inventory flexibility and operational 效率。 efficiency. To align with consumer demand for sustainable dining and 為順應消費者對可持續餐飲及負責任採購的需 responsible sourcing, the segment obtained Marine Stewardship 求，該分部已取得海洋管理委員會(MSC)及水 Council (MSC) and Aquaculture Stewardship Council (ASC) 產養殖管理委員會(ASC)的環境認證。該等認 environmental certifications. These certifications not only enhance 證不僅提升了我們產品組合的市場競爭力，亦 the market competitiveness of our product portfolio but also further 進一步增強了客戶對本集團供應鏈管理及長期 strengthen customer confidence in the Group</t>
        </is>
      </c>
    </row>
    <row r="105">
      <c r="A105" s="9" t="inlineStr">
        <is>
          <t>ESG Data</t>
        </is>
      </c>
      <c r="B105" s="9" t="inlineStr">
        <is>
          <t>環境社會及管治數據</t>
        </is>
      </c>
      <c r="C105" s="9" t="inlineStr">
        <is>
          <t>medium</t>
        </is>
      </c>
      <c r="D105" s="12" t="inlineStr">
        <is>
          <t>可持續</t>
        </is>
      </c>
      <c r="E105" s="12" t="inlineStr">
        <is>
          <t>PDF p.11 (印刷頁 10)</t>
        </is>
      </c>
      <c r="F105" s="12" t="inlineStr">
        <is>
          <t>exposure, minimising liquidity risks, 的市場風險、將流動資金風險降至最低，並識 and identifying high-potential business opportunities to ensure 別高潛力商機，以確保可持續增長。 sustainable growth. Capitalising on the current artificial intelligence (AI) momentum, we 把握當前人工智能(AI)的發展勢頭，我們將積 will actively explore opportunities in Mainland China to develop AI- 極在中國內地探索機遇，以發展AI相關業務。 related businesses. This strategic initiative is designed to expand and 此戰略舉措旨在拓展及升級我們現有的電腦及 upgrade our existing computer and electronic products trading 電子產品貿易業務分部。與此同時，本集團仍 business segm</t>
        </is>
      </c>
    </row>
    <row r="106">
      <c r="A106" s="9" t="inlineStr">
        <is>
          <t>ESG Data</t>
        </is>
      </c>
      <c r="B106" s="9" t="inlineStr">
        <is>
          <t>環境社會及管治數據</t>
        </is>
      </c>
      <c r="C106" s="9" t="inlineStr">
        <is>
          <t>medium</t>
        </is>
      </c>
      <c r="D106" s="12" t="inlineStr">
        <is>
          <t>ESG</t>
        </is>
      </c>
      <c r="E106" s="12" t="inlineStr">
        <is>
          <t>PDF p.15 (印刷頁 14)</t>
        </is>
      </c>
      <c r="F106" s="12" t="inlineStr">
        <is>
          <t>iversity of Hong Kong. He has over 18 於投資者關係管理、企業管治、法律及監管、 years of extensive experience in the areas of investor relations 環境、社會及管治(ESG)及可持續發展方面擁有 management, corporate governance, legal and regulatory, 逾18年豐富經驗。彼現為柏奇商業顧問服務有 environmental, social and governance (ESG) and sustainable 限公司之創辦人及董事，並擁有就編製ESG報 development. He is the founder and director of KPI Commercial 告及優化內部監控系統向企業提供策略性意見 Consultancy Services Company Limited and has substantial 之實質經驗。彼曾與香港企業及上市公司合 experience in the provision of strategic advice to corporations on</t>
        </is>
      </c>
    </row>
    <row r="107">
      <c r="A107" s="9" t="inlineStr">
        <is>
          <t>ESG Data</t>
        </is>
      </c>
      <c r="B107" s="9" t="inlineStr">
        <is>
          <t>環境社會及管治數據</t>
        </is>
      </c>
      <c r="C107" s="9" t="inlineStr">
        <is>
          <t>medium</t>
        </is>
      </c>
      <c r="D107" s="12" t="inlineStr">
        <is>
          <t>可持續</t>
        </is>
      </c>
      <c r="E107" s="12" t="inlineStr">
        <is>
          <t>PDF p.19 (印刷頁 18)</t>
        </is>
      </c>
      <c r="F107" s="12" t="inlineStr">
        <is>
          <t>rnational trade volatility, regional 受國際貿易波動的影響，但區域價格競爭依然 price competition remains intense. To ensure sustainable growth, the 激烈。為確保可持續增長，本集團將繼續利用 Group will continue to utilise and refine our customer credit-rating 及完善我們的客戶信貸評級系統。此舉使我們 system. This enables us to identify, target and prioritise high-value, 能夠識別、鎖定及優先考慮高價值、信譽良好 creditworthy customers while minimising financial risk. In addition, 的客戶，同時將財務風險降至最低。此外，本 the Group will continue to expand the multi-source supplier network. 集團將繼續擴大多源供應商網絡。此多元化策 This diversification en</t>
        </is>
      </c>
    </row>
    <row r="108">
      <c r="A108" s="9" t="inlineStr">
        <is>
          <t>ESG Data</t>
        </is>
      </c>
      <c r="B108" s="9" t="inlineStr">
        <is>
          <t>環境社會及管治數據</t>
        </is>
      </c>
      <c r="C108" s="9" t="inlineStr">
        <is>
          <t>medium</t>
        </is>
      </c>
      <c r="D108" s="12" t="inlineStr">
        <is>
          <t>sustainability</t>
        </is>
      </c>
      <c r="E108" s="12" t="inlineStr">
        <is>
          <t>PDF p.21 (印刷頁 20)</t>
        </is>
      </c>
      <c r="F108" s="12" t="inlineStr">
        <is>
          <t>ncil (MSC) and the Aquaculture Stewardship Council 監管鏈認證。該等國際認證為野生捕撈和養殖 (ASC) in 2025. These international certifications set strict sustainability 海產制定了嚴格的可持續性標準。透過取得該 standards for wild-caught and farmed seafood. By securing these 等認證，我們向零售買家及本地餐廳提供了重 certifications, we provide vital reassurance to retail buyers and local 要保證，確保我們的海鮮來自負責任管理、環 restaurants that our seafood is sourced from responsibly managed, 保的供應商。這種對可持續發展的承諾有助我 eco-friendly suppliers. This commitment to sustainability helps us 們在香港競爭激烈的食品貿易領域中脫穎而 stand out in</t>
        </is>
      </c>
    </row>
    <row r="109">
      <c r="A109" s="9" t="inlineStr">
        <is>
          <t>ESG Data</t>
        </is>
      </c>
      <c r="B109" s="9" t="inlineStr">
        <is>
          <t>環境社會及管治數據</t>
        </is>
      </c>
      <c r="C109" s="9" t="inlineStr">
        <is>
          <t>medium</t>
        </is>
      </c>
      <c r="D109" s="12" t="inlineStr">
        <is>
          <t>sustainability</t>
        </is>
      </c>
      <c r="E109" s="12" t="inlineStr">
        <is>
          <t>PDF p.22 (印刷頁 21)</t>
        </is>
      </c>
      <c r="F109" s="12" t="inlineStr">
        <is>
          <t>procurement, we can 保具競爭力的定價並維持成本穩定。 secure competitive pricing and maintain cost stability. At the same time, we will leverage our sustainability certifications to 同時，我們將利用我們的可持續發展認證，以 meet growing market demand for healthy and premium foods. Our 滿足市場對健康及優質食品日益增長的需求。 flexible, customised cutting and packaging services will continue to 我們可靈活提供定製化切割與包裝服務，將持 support local restaurants and food stores as they adapt to evolving 續支持本地餐廳和食品店適應不斷變化的餐飲 dining trends. By combining these operational efficiencies with our 趨勢。透過將該等營運效率與我們經</t>
        </is>
      </c>
    </row>
    <row r="110">
      <c r="A110" s="9" t="inlineStr">
        <is>
          <t>ESG Data</t>
        </is>
      </c>
      <c r="B110" s="9" t="inlineStr">
        <is>
          <t>環境社會及管治數據</t>
        </is>
      </c>
      <c r="C110" s="9" t="inlineStr">
        <is>
          <t>medium</t>
        </is>
      </c>
      <c r="D110" s="12" t="inlineStr">
        <is>
          <t>ESG</t>
        </is>
      </c>
      <c r="E110" s="12" t="inlineStr">
        <is>
          <t>PDF p.23 (印刷頁 22)</t>
        </is>
      </c>
      <c r="F110" s="12" t="inlineStr">
        <is>
          <t>lied on professional firms for wealth planning 富規劃及風險管理。值得注意的是，可持續金 and risk management. Notably, sustainable finance and 融及環境、社會及管治(ESG)諮詢進一步深入主 Environmental, Social, and Governance (ESG) consulting moved 流實踐，從基本的披露規劃轉向積極構建綠色 deeper into mainstream practice, shifting from basic disclosure 及負責任的投資組合。 planning to the active construction of green and responsible investment portfolios. Money Lending Business 借貸業務 The money-lending and small-to-medium enterprise (SME) financing 經過長期受壓後，借貸及中小型企業(SME)融 landscape began to show signs</t>
        </is>
      </c>
    </row>
    <row r="111">
      <c r="A111" s="9" t="inlineStr">
        <is>
          <t>ESG Data</t>
        </is>
      </c>
      <c r="B111" s="9" t="inlineStr">
        <is>
          <t>環境社會及管治數據</t>
        </is>
      </c>
      <c r="C111" s="9" t="inlineStr">
        <is>
          <t>medium</t>
        </is>
      </c>
      <c r="D111" s="12" t="inlineStr">
        <is>
          <t>ESG</t>
        </is>
      </c>
      <c r="E111" s="12" t="inlineStr">
        <is>
          <t>PDF p.39 (印刷頁 38)</t>
        </is>
      </c>
      <c r="F111" s="12" t="inlineStr">
        <is>
          <t>s on diversifying its 紀業務團隊將專注於產品範圍的多元化。除現 product range. In addition to the existing product lines, the team will 有產品線外，團隊將拓展投資選擇，納入ESG expand investment options to include ESG funds and green bonds. 基金及綠色債券。通過推出該等產品，團隊期 By launching these products, the team expects to attract a broader 望吸引更廣泛的客戶群體，並滿足不同投資者 client base and meet the needs of different investors. 的需求。 Money Lending Business 借貸業務 Moving forward, the credit business team remains optimistic as Hong 展望未來，由於香港住宅物業價格及整體市場 Kong’s residential property prices and overall</t>
        </is>
      </c>
    </row>
    <row r="112">
      <c r="A112" s="9" t="inlineStr">
        <is>
          <t>ESG Data</t>
        </is>
      </c>
      <c r="B112" s="9" t="inlineStr">
        <is>
          <t>環境社會及管治數據</t>
        </is>
      </c>
      <c r="C112" s="9" t="inlineStr">
        <is>
          <t>medium</t>
        </is>
      </c>
      <c r="D112" s="12" t="inlineStr">
        <is>
          <t>可持續</t>
        </is>
      </c>
      <c r="E112" s="12" t="inlineStr">
        <is>
          <t>PDF p.40 (印刷頁 39)</t>
        </is>
      </c>
      <c r="F112" s="12" t="inlineStr">
        <is>
          <t>l upgrades will stabilise recovery rates, 收回率，將壞賬風險降至最低，並為本集團確 minimise bad debt risks, and secure a predictable, sustainable 保一個可預測、可持續的收入來源。 revenue stream for the Group. Family Office Services Business Segment 家族辦公室服務業務分部 Market Overview 市場概覽 Family Office Services Business 家族辦公室服務業務 During the Year, Hong Kong’s family office services industry 於本年度，香港家族辦公室服務行業由穩定階 transitioned from a stabilisation phase to a highly mature, fully 段過渡至高度成熟、全面整合的財富中心。行 integrated wealth hub. The industry’s total scale has continued to 業總規模持續創下新</t>
        </is>
      </c>
    </row>
    <row r="113">
      <c r="A113" s="9" t="inlineStr">
        <is>
          <t>ESG Data</t>
        </is>
      </c>
      <c r="B113" s="9" t="inlineStr">
        <is>
          <t>環境社會及管治數據</t>
        </is>
      </c>
      <c r="C113" s="9" t="inlineStr">
        <is>
          <t>medium</t>
        </is>
      </c>
      <c r="D113" s="12" t="inlineStr">
        <is>
          <t>可持續</t>
        </is>
      </c>
      <c r="E113" s="12" t="inlineStr">
        <is>
          <t>PDF p.42 (印刷頁 41)</t>
        </is>
      </c>
      <c r="F113" s="12" t="inlineStr">
        <is>
          <t>ns committed to delivering 灣家族辦公室仍然致力於提供可靠、一站式的 reliable, one-stop solutions focused on long-term wealth preservation 解決方案，專注於長期財富保值及可持續發展。 and sustainable development. Insurance Brokerage Business 保險經紀業務 Following our acquisition of an 82% interest in Victoria Wealth 於二零二五年五月收購維港財富管理有限公司 Management Limited (“Victoria WM”) in May 2025, Victoria WM （「維港財富管理」）的82%權益後，維港財富管 was successfully integrated as a wholly owned subsidiary of the 理已成功整合為本公司一間全資附屬公司。維 Company. Victoria WM has expanded the Group’s capabilities by 港財富管理透過提供一整套</t>
        </is>
      </c>
    </row>
    <row r="114">
      <c r="A114" s="9" t="inlineStr">
        <is>
          <t>ESG Data</t>
        </is>
      </c>
      <c r="B114" s="9" t="inlineStr">
        <is>
          <t>環境社會及管治數據</t>
        </is>
      </c>
      <c r="C114" s="9" t="inlineStr">
        <is>
          <t>medium</t>
        </is>
      </c>
      <c r="D114" s="12" t="inlineStr">
        <is>
          <t>可持續</t>
        </is>
      </c>
      <c r="E114" s="12" t="inlineStr">
        <is>
          <t>PDF p.70 (印刷頁 69)</t>
        </is>
      </c>
      <c r="F114" s="12" t="inlineStr">
        <is>
          <t>ors that the Board may consider relevant. (viii) 董事會可能認為相關的任何其他因素。 The Board endeavours to maintain a balance between meeting 董事會致力通過可持續的股息政策，在符合股 Shareholders’ expectations and prudent capital management with a 東期望與審慎資本管理兩者之間保持平衡。董 sustainable dividend policy. The Board will continue to review the 事會亦將持續檢討股息政策並保留其唯一及絕 dividend policy and reserve the right in its sole and absolute 對酌情權不時更新、修訂及╱或修改股息政 discretion to update, amend and/or modify the dividend policy from 策，股息政策不會以任何方式構成本公司有關 time to time, and the dividend policy sha</t>
        </is>
      </c>
    </row>
    <row r="115">
      <c r="A115" s="9" t="inlineStr">
        <is>
          <t>ESG Data</t>
        </is>
      </c>
      <c r="B115" s="9" t="inlineStr">
        <is>
          <t>環境社會及管治數據</t>
        </is>
      </c>
      <c r="C115" s="9" t="inlineStr">
        <is>
          <t>medium</t>
        </is>
      </c>
      <c r="D115" s="12" t="inlineStr">
        <is>
          <t>環境、社會及管治</t>
        </is>
      </c>
      <c r="E115" s="12" t="inlineStr">
        <is>
          <t>PDF p.72 (印刷頁 71)</t>
        </is>
      </c>
      <c r="F115" s="12" t="inlineStr">
        <is>
          <t>eness among its employees 此外，其強調回收及減廢的原則，同時實施可 regarding its significance. Additionally, it emphasizes the principles of 持續辦公實踐。有關本集團環境、社會及管治 recycling and waste reduction while implementing sustainable office 舉措的詳情將載於本公司於二零二六年七月 practices. Details regarding the Group’s environmental, social, and 三十一日刊發的環境、社會及管治報告。 governance initiatives will be provided in the Environmental, Social, and Governance Report published by the Company on 31 July 2026. BOARD OF DIRECTORS 董事會 The Directors who were in office during the Current Year an</t>
        </is>
      </c>
    </row>
    <row r="116">
      <c r="A116" s="9" t="inlineStr">
        <is>
          <t>ESG Data</t>
        </is>
      </c>
      <c r="B116" s="9" t="inlineStr">
        <is>
          <t>環境社會及管治數據</t>
        </is>
      </c>
      <c r="C116" s="9" t="inlineStr">
        <is>
          <t>medium</t>
        </is>
      </c>
      <c r="D116" s="12" t="inlineStr">
        <is>
          <t>可持續</t>
        </is>
      </c>
      <c r="E116" s="12" t="inlineStr">
        <is>
          <t>PDF p.82 (印刷頁 81)</t>
        </is>
      </c>
      <c r="F116" s="12" t="inlineStr">
        <is>
          <t>the remuneration of the Directors and senior 明度的框架。該政策旨在使個人獎勵與公司目 management of the Company. The policy is designed to align 標保持一致，鼓勵可持續的價值創造，並吸引 individual rewards with corporate goals, encourage sustainable value 和留住對本公司成功至關重要的人才。本公司 creation and attract and retain talent essential to the Company’s 將不時參考公司財務狀況（如適用）評估薪酬計 success. The Company will assess from time to time whether the 劃是否有效地使行政人員薪酬與公司及個人表 remuneration programme effectively aligns executive pay with 現保持一致。 corporate and individual performance, with reference to c</t>
        </is>
      </c>
    </row>
    <row r="117">
      <c r="A117" s="9" t="inlineStr">
        <is>
          <t>ESG Data</t>
        </is>
      </c>
      <c r="B117" s="9" t="inlineStr">
        <is>
          <t>環境社會及管治數據</t>
        </is>
      </c>
      <c r="C117" s="9" t="inlineStr">
        <is>
          <t>medium</t>
        </is>
      </c>
      <c r="D117" s="12" t="inlineStr">
        <is>
          <t>環境、社會及管治</t>
        </is>
      </c>
      <c r="E117" s="12" t="inlineStr">
        <is>
          <t>PDF p.88 (印刷頁 87)</t>
        </is>
      </c>
      <c r="F117" s="12" t="inlineStr">
        <is>
          <t>ar Group Limited 亨利加集團有限公司 CORPORATE GOVERNANCE REPORT 企業管治報告 The Independent Non-executive Directors possess skills and 獨立非執行董事具備會計、環境、社會及管治 experience in areas such as accounting, environmental, social and 等領域的技能及經驗，增強董事會在技能、經 governance, enhancing the Board’s balance of skills, experience and 驗及觀點多元化方面的平衡。彼等隨時了解本 diversity of perspectives. They keep up-to-date with the Group’s 集團業務的最新情況，並參與審查本集團在實 business affairs and are involved in scrutinising the Group’s 現協定公司目標和目的方面的表現。彼等就策 performance in achieving agreed corporate goal</t>
        </is>
      </c>
    </row>
    <row r="118">
      <c r="A118" s="9" t="inlineStr">
        <is>
          <t>ESG Data</t>
        </is>
      </c>
      <c r="B118" s="9" t="inlineStr">
        <is>
          <t>環境社會及管治數據</t>
        </is>
      </c>
      <c r="C118" s="9" t="inlineStr">
        <is>
          <t>medium</t>
        </is>
      </c>
      <c r="D118" s="12" t="inlineStr">
        <is>
          <t>可持續</t>
        </is>
      </c>
      <c r="E118" s="12" t="inlineStr">
        <is>
          <t>PDF p.98 (印刷頁 97)</t>
        </is>
      </c>
      <c r="F118" s="12" t="inlineStr">
        <is>
          <t>pportunities, and the maintenance of the 董事會擬提供與本公司盈利改善與長期增長相 Company’s strong investment-grade credit ratings, the Board intends 一致的可持續股息。經確認，董事會作出的所 to offer a sustainable dividend aligned with the Company’s earnings 有股息決策均符合本公司的股息政策。 improvement and long-term growth. It is confirmed that all dividend decisions made by the Board were in accordance with the Company’s Dividend Policy. 97</t>
        </is>
      </c>
    </row>
    <row r="119">
      <c r="A119" s="9" t="inlineStr">
        <is>
          <t>ESG Data</t>
        </is>
      </c>
      <c r="B119" s="9" t="inlineStr">
        <is>
          <t>環境社會及管治數據</t>
        </is>
      </c>
      <c r="C119" s="9" t="inlineStr">
        <is>
          <t>medium</t>
        </is>
      </c>
      <c r="D119" s="12" t="inlineStr">
        <is>
          <t>sustainability</t>
        </is>
      </c>
      <c r="E119" s="12" t="inlineStr">
        <is>
          <t>PDF p.100 (印刷頁 99)</t>
        </is>
      </c>
      <c r="F119" s="12" t="inlineStr">
        <is>
          <t>individual; (ii) the contribution on environmental, social and governance to (ii) 對環境、社會及管治的貢獻，以確保本公 ensure the Company’s long-term sustainability; 司的長期可持續發展； (iii) market practices and levels of remuneration paid by (iii) 香港可資比較公司的市場慣例及薪酬水 comparable companies in Hong Kong; 平； (iv) market trends, including prevailing market conditions, market (iv) 市場趨勢，包括當時的市場狀況、市場數 data, and relative remuneration levels among industry peers; 據和行業同行的相對薪酬水平； (v) the time commitment and responsibilities of the relevant (v) 相關職位的時間承諾和職責； positio</t>
        </is>
      </c>
    </row>
    <row r="120">
      <c r="A120" s="9" t="inlineStr">
        <is>
          <t>ESG Data</t>
        </is>
      </c>
      <c r="B120" s="9" t="inlineStr">
        <is>
          <t>環境社會及管治數據</t>
        </is>
      </c>
      <c r="C120" s="9" t="inlineStr">
        <is>
          <t>medium</t>
        </is>
      </c>
      <c r="D120" s="12" t="inlineStr">
        <is>
          <t>環境、社會及管治</t>
        </is>
      </c>
      <c r="E120" s="12" t="inlineStr">
        <is>
          <t>PDF p.101 (印刷頁 100)</t>
        </is>
      </c>
      <c r="F120" s="12" t="inlineStr">
        <is>
          <t>限公司 Annual Report 年報 2026 CORPORATE GOVERNANCE REPORT 企業管治報告 (vi) Environmental, Social, and Governance Performance Indicators; (vi) 環境、社會及管治績效指標； (vii) employment conditions elsewhere in the Group; (vii) 本集團其他部門的僱傭條件； (viii) the overall performance and strategic direction of the Group; (viii) 本集團的整體表現及策略方向； (ix) the Company’s corporate goals and objectives; (ix) 本公司的企業目標和宗旨； (x) the principles of fairness, reasonableness, and alignment with (x) 公平、合理、符合股東長遠利益的原則； long-term shareholder interests; and 及 (xi) proper consideration</t>
        </is>
      </c>
    </row>
    <row r="121">
      <c r="A121" s="9" t="inlineStr">
        <is>
          <t>ESG Data</t>
        </is>
      </c>
      <c r="B121" s="9" t="inlineStr">
        <is>
          <t>環境社會及管治數據</t>
        </is>
      </c>
      <c r="C121" s="9" t="inlineStr">
        <is>
          <t>medium</t>
        </is>
      </c>
      <c r="D121" s="12" t="inlineStr">
        <is>
          <t>可持續</t>
        </is>
      </c>
      <c r="E121" s="12" t="inlineStr">
        <is>
          <t>PDF p.107 (印刷頁 106)</t>
        </is>
      </c>
      <c r="F121" s="12" t="inlineStr">
        <is>
          <t>司相信董事會成員 believes that board diversity enhances decision- 多元化可提升決策能力，從而 making capability and thus the overall effectiveness 提升董事會在實現可持續業務 of the Board in achieving sustainable business 營運及提升股東價值方面的整 operation and enhancing shareholder value. 體效率。 Measurable The Company takes into consideration the benefits 可衡量目標 本公司考慮到多元化各方面的 Objectives of various aspects of diversity, including gender, 裨益，包括性別、年齡、文 age, culture, ethnicity, educational background, 化、種族、教育背景、專業經 professional experience and other factors that may 驗及其他可能不時與實現董事 b</t>
        </is>
      </c>
    </row>
    <row r="122">
      <c r="A122" s="9" t="inlineStr">
        <is>
          <t>Segment Information</t>
        </is>
      </c>
      <c r="B122" s="9" t="inlineStr">
        <is>
          <t>分部資料</t>
        </is>
      </c>
      <c r="C122" s="9" t="inlineStr">
        <is>
          <t>medium</t>
        </is>
      </c>
      <c r="D122" s="12" t="inlineStr">
        <is>
          <t>operating segment</t>
        </is>
      </c>
      <c r="E122" s="12" t="inlineStr">
        <is>
          <t>PDF p.142 (印刷頁 141)</t>
        </is>
      </c>
      <c r="F122" s="12" t="inlineStr">
        <is>
          <t>owest level at which the goodwill is 內部管理目的而監察商譽的最低層 monitored for internal management purposes and not 級，並不大於一個經營分部。 larger than an operating segment. 141</t>
        </is>
      </c>
    </row>
    <row r="123">
      <c r="A123" s="9" t="inlineStr">
        <is>
          <t>Segment Information</t>
        </is>
      </c>
      <c r="B123" s="9" t="inlineStr">
        <is>
          <t>分部資料</t>
        </is>
      </c>
      <c r="C123" s="9" t="inlineStr">
        <is>
          <t>medium</t>
        </is>
      </c>
      <c r="D123" s="12" t="inlineStr">
        <is>
          <t>reportable segment</t>
        </is>
      </c>
      <c r="E123" s="12" t="inlineStr">
        <is>
          <t>PDF p.196 (印刷頁 195)</t>
        </is>
      </c>
      <c r="F123" s="12" t="inlineStr">
        <is>
          <t>VENUE 5 收入 Segment revenues and results 分部收入及業績 The following is an analysis of the Group’s revenue and results 本集團按可呈報分部劃分的收入及業績 by reportable segments: 分析如下： For the year ended 31 March 2026 截至二零二六年三月三十一日止年度 Computer and electronic Family products Food Financial office trading trading services services Segments business business business business Total 電腦及 電子產品 食品貿易 金融服務 家族辦公室 分部 貿易業務 業務 業務 服務業務 總計 HK$’000 HK$’000 HK$’000 HK$’000 HK$’000 千港元 千港元 千港元 千港元 千港元 Disaggregated by types of 按貨品或服務類別 goods or services: 分類： Sales of go</t>
        </is>
      </c>
    </row>
    <row r="124">
      <c r="A124" s="9" t="inlineStr">
        <is>
          <t>Segment Information</t>
        </is>
      </c>
      <c r="B124" s="9" t="inlineStr">
        <is>
          <t>分部資料</t>
        </is>
      </c>
      <c r="C124" s="9" t="inlineStr">
        <is>
          <t>medium</t>
        </is>
      </c>
      <c r="D124" s="12" t="inlineStr">
        <is>
          <t>reportable segment</t>
        </is>
      </c>
      <c r="E124" s="12" t="inlineStr">
        <is>
          <t>PDF p.197 (印刷頁 196)</t>
        </is>
      </c>
      <c r="F124" s="12" t="inlineStr">
        <is>
          <t>ent revenues and results (Continued) 分部收入及業績（續） The following is an analysis of the Group’s revenue and results 本集團按可呈報分部劃分的收入及業績 by reportable segments: (Continued) 分析如下：（續） For the year ended 31 March 2026 截至二零二六年三月三十一日止年度 Computer and electronic Family products Food Financial office trading trading services services Segments business business business business Total 電腦及 電子產品 食品貿易 金融服務 家族辦公室 分部 貿易業務 業務 業務 服務業務 總計 HK$’000 HK$’000 HK$’000 HK$’000 HK$’000 千港元 千港元 千港元 千港元 千港元 Revenue from other sources: 來自其他來源的收入： Interest income</t>
        </is>
      </c>
    </row>
    <row r="125">
      <c r="A125" s="9" t="inlineStr">
        <is>
          <t>Segment Information</t>
        </is>
      </c>
      <c r="B125" s="9" t="inlineStr">
        <is>
          <t>分部資料</t>
        </is>
      </c>
      <c r="C125" s="9" t="inlineStr">
        <is>
          <t>medium</t>
        </is>
      </c>
      <c r="D125" s="12" t="inlineStr">
        <is>
          <t>reportable segment</t>
        </is>
      </c>
      <c r="E125" s="12" t="inlineStr">
        <is>
          <t>PDF p.198 (印刷頁 197)</t>
        </is>
      </c>
      <c r="F125" s="12" t="inlineStr">
        <is>
          <t>ent revenues and results 分部收入及業績（續） (Continued) The following is an analysis of the Group’s revenue and results 本集團按可呈報分部劃分的收入及業績 by reportable segments: (Continued) 分析如下：（續） For the year ended 31 March 2025 截至二零二五年三月三十一日止年度 Computer and electronic Family products Food Financial office trading trading services services Segments business business business business Total 電腦及 電子產品 食品貿易 金融服務 家族辦公室 分部 貿易業務 業務 業務 服務業務 總計 HK$’000 HK$’000 HK$’000 HK$’000 HK$’000 千港元 千港元 千港元 千港元 千港元 Disaggregated by types of 按貨品或服務類別分類 goods or services</t>
        </is>
      </c>
    </row>
    <row r="126">
      <c r="A126" s="9" t="inlineStr">
        <is>
          <t>Segment Information</t>
        </is>
      </c>
      <c r="B126" s="9" t="inlineStr">
        <is>
          <t>分部資料</t>
        </is>
      </c>
      <c r="C126" s="9" t="inlineStr">
        <is>
          <t>medium</t>
        </is>
      </c>
      <c r="D126" s="12" t="inlineStr">
        <is>
          <t>reportable segment</t>
        </is>
      </c>
      <c r="E126" s="12" t="inlineStr">
        <is>
          <t>PDF p.199 (印刷頁 198)</t>
        </is>
      </c>
      <c r="F126" s="12" t="inlineStr">
        <is>
          <t>mined the operating segment based on these reports. 運分部。 The CODM considers that the Group has four operating and 主要營運決策者認為，本集團擁有四個營 reportable segments which are (i) computer and electronic 運及可呈報分部，即(i)電腦及電子產品貿 products trading business, (ii) food trading business, (iii) 易業務，(ii)食品貿易業務，(iii)金融服務 financial services business and (iv) family office services 業務及(iv)家族辦公室服務業務。 business. The CODM assesses the performance of the operating 主要營運決策者根據分部利潤╱虧損評核 segments based on segment profit/loss. Expenses, where 營運分部之表現。開支（如適用）經參考 app</t>
        </is>
      </c>
    </row>
    <row r="127">
      <c r="A127" s="9" t="inlineStr">
        <is>
          <t>Segment Information</t>
        </is>
      </c>
      <c r="B127" s="9" t="inlineStr">
        <is>
          <t>分部資料</t>
        </is>
      </c>
      <c r="C127" s="9" t="inlineStr">
        <is>
          <t>medium</t>
        </is>
      </c>
      <c r="D127" s="12" t="inlineStr">
        <is>
          <t>operating segment</t>
        </is>
      </c>
      <c r="E127" s="12" t="inlineStr">
        <is>
          <t>PDF p.200 (印刷頁 199)</t>
        </is>
      </c>
      <c r="F127" s="12" t="inlineStr">
        <is>
          <t>Annual Report 年報 2026 Hunlicar Group Limited 亨利加集團有限公司 NOTES TO THE CONSOLIDATED FINANCIAL STATEMENTS 合併財務報表附註 6 OPERATING SEGMENTS 6 經營分部（續） (Continued) c) Financial services business: provision of securities c） 金融服務業務：提供證券經紀、包 brokerage, underwriting and placing services, financial 銷及配售服務、財務顧問服務、場 advisory services, OTC derivatives transactions, money 外衍生工具交易、借貸服務及不良 lending services and non-performing loan recovery 貸款追收 d) Family office services business: provision of insurance d） 家族辦公室服務業務：提供保險經 brokerag</t>
        </is>
      </c>
    </row>
    <row r="128">
      <c r="A128" s="9" t="inlineStr">
        <is>
          <t>Segment Information</t>
        </is>
      </c>
      <c r="B128" s="9" t="inlineStr">
        <is>
          <t>分部資料</t>
        </is>
      </c>
      <c r="C128" s="9" t="inlineStr">
        <is>
          <t>medium</t>
        </is>
      </c>
      <c r="D128" s="12" t="inlineStr">
        <is>
          <t>reportable segment</t>
        </is>
      </c>
      <c r="E128" s="12" t="inlineStr">
        <is>
          <t>PDF p.201 (印刷頁 200)</t>
        </is>
      </c>
      <c r="F128" s="12" t="inlineStr">
        <is>
          <t>Continued) Segment revenues and results 分部收入及業績 The following is an analysis of the Group’s revenue and results 本集團按可呈報分部劃分的收入及業績 by reportable segments: 分析如下： For the year ended 31 March 2026 截至二零二六年三月三十一日止年度 Computer and electronic Family products Food Financial office trading trading services services business business business business Total 電腦及 電子產品 食品貿易 金融服務 家族辦公室 貿易業務 業務 業務 服務業務 總計 HK$’000 HK$’000 HK$’000 HK$’000 HK$’000 千港元 千港元 千港元 千港元 千港元 Revenue from external customers 來自外部客戶的收入 8,097 97,250 54,509 68,971 228,827 Cost</t>
        </is>
      </c>
    </row>
    <row r="129">
      <c r="A129" s="9" t="inlineStr">
        <is>
          <t>Segment Information</t>
        </is>
      </c>
      <c r="B129" s="9" t="inlineStr">
        <is>
          <t>分部資料</t>
        </is>
      </c>
      <c r="C129" s="9" t="inlineStr">
        <is>
          <t>medium</t>
        </is>
      </c>
      <c r="D129" s="12" t="inlineStr">
        <is>
          <t>reportable segment</t>
        </is>
      </c>
      <c r="E129" s="12" t="inlineStr">
        <is>
          <t>PDF p.202 (印刷頁 201)</t>
        </is>
      </c>
      <c r="F129" s="12" t="inlineStr">
        <is>
          <t>ent revenues and results (Continued) 分部收入及業績（續） The following is an analysis of the Group’s revenue and results 本集團按可呈報分部劃分的收入及業績 by reportable segments: (Continued) 分析如下：（續） For the year ended 31 March 2026 截至二零二六年三月三十一日止年度 Computer and electronic Family products Food Financial office trading trading services services business business business business Total 電腦及 電子產品 食品貿易 金融服務 家族辦公室 貿易業務 業務 業務 服務業務 總計 HK$’000 HK$’000 HK$’000 HK$’000 HK$’000 千港元 千港元 千港元 千港元 千港元 Reconciliation between segment 分部業績與年度利潤 results and profit for th</t>
        </is>
      </c>
    </row>
    <row r="130">
      <c r="A130" s="9" t="inlineStr">
        <is>
          <t>Segment Information</t>
        </is>
      </c>
      <c r="B130" s="9" t="inlineStr">
        <is>
          <t>分部資料</t>
        </is>
      </c>
      <c r="C130" s="9" t="inlineStr">
        <is>
          <t>medium</t>
        </is>
      </c>
      <c r="D130" s="12" t="inlineStr">
        <is>
          <t>reportable segment</t>
        </is>
      </c>
      <c r="E130" s="12" t="inlineStr">
        <is>
          <t>PDF p.203 (印刷頁 202)</t>
        </is>
      </c>
      <c r="F130" s="12" t="inlineStr">
        <is>
          <t>ent revenues and results (Continued) 分部收入及業績（續） The following is an analysis of the Group’s revenue and results 本集團按可呈報分部劃分的收入及業績 by reportable segments: (Continued) 分析如下：（續） For the year ended 31 March 2025 截至二零二五年三月三十一日止年度 Computer and electronic Family products Food Financial office trading trading services services business business business business Total 電腦及 電子產品 食品貿易 金融服務 家族辦公室 貿易業務 業務 業務 服務業務 總計 HK$’000 HK$’000 HK$’000 HK$’000 HK$’000 千港元 千港元 千港元 千港元 千港元 Revenue from external customers 來自外部客戶的收入 90,040 76,972 55,171 16,</t>
        </is>
      </c>
    </row>
    <row r="131">
      <c r="A131" s="9" t="inlineStr">
        <is>
          <t>Segment Information</t>
        </is>
      </c>
      <c r="B131" s="9" t="inlineStr">
        <is>
          <t>分部資料</t>
        </is>
      </c>
      <c r="C131" s="9" t="inlineStr">
        <is>
          <t>medium</t>
        </is>
      </c>
      <c r="D131" s="12" t="inlineStr">
        <is>
          <t>reportable segment</t>
        </is>
      </c>
      <c r="E131" s="12" t="inlineStr">
        <is>
          <t>PDF p.204 (印刷頁 203)</t>
        </is>
      </c>
      <c r="F131" s="12" t="inlineStr">
        <is>
          <t>ent revenues and results (Continued) 分部收入及業績（續） The following is an analysis of the Group’s revenue and results 本集團按可呈報分部劃分的收入及業績 by reportable segments: (Continued) 分析如下：（續） For the year ended 31 March 2025 截至二零二五年三月三十一日止年度 Computer and electronic Family products Food Financial office trading trading services services business business business business Total 電腦及 電子產品 食品貿易 金融服務 家族辦公室 貿易業務 業務 業務 服務業務 總計 HK$’000 HK$’000 HK$’000 HK$’000 HK$’000 千港元 千港元 千港元 千港元 千港元 Reconciliation between segment 分部業績與年度虧損 results and loss for the</t>
        </is>
      </c>
    </row>
    <row r="132">
      <c r="A132" s="9" t="inlineStr">
        <is>
          <t>Segment Information</t>
        </is>
      </c>
      <c r="B132" s="9" t="inlineStr">
        <is>
          <t>分部資料</t>
        </is>
      </c>
      <c r="C132" s="9" t="inlineStr">
        <is>
          <t>medium</t>
        </is>
      </c>
      <c r="D132" s="12" t="inlineStr">
        <is>
          <t>reportable segment</t>
        </is>
      </c>
      <c r="E132" s="12" t="inlineStr">
        <is>
          <t>PDF p.205 (印刷頁 204)</t>
        </is>
      </c>
      <c r="F132" s="12" t="inlineStr">
        <is>
          <t>nued) Segment assets and liabilities 分部資產及負債 The following is an analysis of the Group’s assets and liabilities 本集團按可呈報分部劃分的資產及負債 by reportable segments: 分析如下： Computer and electronic Family products Food Financial office 二零二六年 trading trading services services 31 March 2026 三月三十一日 business business business business Total 電腦及 電子產品 食品貿易 金融服務 家族辦公室 貿易業務 業務 業務 服務業務 總計 HK$’000 HK$’000 HK$’000 HK$’000 HK$’000 千港元 千港元 千港元 千港元 千港元 Segment assets 分部資產 40,050 42,678 388,055 27,526 498,309 Segment liabilities 分部負債 7,767 4,195 295,632 15</t>
        </is>
      </c>
    </row>
    <row r="133">
      <c r="A133" s="9" t="inlineStr">
        <is>
          <t>Segment Information</t>
        </is>
      </c>
      <c r="B133" s="9" t="inlineStr">
        <is>
          <t>分部資料</t>
        </is>
      </c>
      <c r="C133" s="9" t="inlineStr">
        <is>
          <t>medium</t>
        </is>
      </c>
      <c r="D133" s="12" t="inlineStr">
        <is>
          <t>operating segment</t>
        </is>
      </c>
      <c r="E133" s="12" t="inlineStr">
        <is>
          <t>PDF p.206 (印刷頁 205)</t>
        </is>
      </c>
      <c r="F133" s="12" t="inlineStr">
        <is>
          <t>Annual Report 年報 2026 Hunlicar Group Limited 亨利加集團有限公司 NOTES TO THE CONSOLIDATED FINANCIAL STATEMENTS 合併財務報表附註 6 OPERATING SEGMENTS 6 經營分部（續） (Continued) Segment assets and liabilities (Continued) 分部資產及負債（續） The reconciliations of segment assets to total assets and 分部資產與資產總額以及分部負債與負 segment liabilities to total liabilities are provided as follows: 債總額的對賬載列如下： As at 31 March 於三月三十一日 2026 2025 二零二六年 二零二五年 HK$’000 HK$’000 千港元 千港元 Segment assets 分部資產 498,309 399,037 Cash and cash equivalents 現金及現金等價物 4,249 1,473</t>
        </is>
      </c>
    </row>
    <row r="134">
      <c r="A134" s="9" t="inlineStr">
        <is>
          <t>Segment Information</t>
        </is>
      </c>
      <c r="B134" s="9" t="inlineStr">
        <is>
          <t>分部資料</t>
        </is>
      </c>
      <c r="C134" s="9" t="inlineStr">
        <is>
          <t>medium</t>
        </is>
      </c>
      <c r="D134" s="12" t="inlineStr">
        <is>
          <t>segment information</t>
        </is>
      </c>
      <c r="E134" s="12" t="inlineStr">
        <is>
          <t>PDF p.207 (印刷頁 206)</t>
        </is>
      </c>
      <c r="F134" s="12" t="inlineStr">
        <is>
          <t>FINANCIAL STATEMENTS 合併財務報表附註 6 OPERATING SEGMENTS 6 經營分部（續） (Continued) Segment assets and liabilities (Continued) 分部資產及負債（續） Other segment information 其他分部資料 For the year ended 31 March 2026 截至二零二六年三月三十一日止年度 Computer and electronic Family products Food Financial office trading trading services services business business business business Total 電腦及 電子產品 食品貿易 金融服務 家族辦公室 貿易業務 業務 業務 服務業務 總計 HK$’000 HK$’000 HK$’000 HK$’000 HK$’000 千港元 千港元 千港元 千港元 千港元 Additions to property, plant 物業、廠房及設備 and equipment 添置 282 – 3,839 65 4,186 Depre</t>
        </is>
      </c>
    </row>
    <row r="135">
      <c r="A135" s="9" t="inlineStr">
        <is>
          <t>Segment Information</t>
        </is>
      </c>
      <c r="B135" s="9" t="inlineStr">
        <is>
          <t>分部資料</t>
        </is>
      </c>
      <c r="C135" s="9" t="inlineStr">
        <is>
          <t>medium</t>
        </is>
      </c>
      <c r="D135" s="12" t="inlineStr">
        <is>
          <t>segment information</t>
        </is>
      </c>
      <c r="E135" s="12" t="inlineStr">
        <is>
          <t>PDF p.208 (印刷頁 207)</t>
        </is>
      </c>
      <c r="F135" s="12" t="inlineStr">
        <is>
          <t>FINANCIAL STATEMENTS 合併財務報表附註 6 OPERATING SEGMENTS 6 經營分部（續） (Continued) Segment assets and liabilities (Continued) 分部資產及負債（續） Other segment information (Continued) 其他分部資料（續） For the year ended 31 March 2025 截至二零二五年三月三十一日止年度 Computer and electronic Family products Food Financial office trading trading services services business business business business Total 電腦及 電子產品 食品貿易 金融服務 家族辦公室 貿易業務 業務 業務 服務業務 總計 HK$’000 HK$’000 HK$’000 HK$’000 HK$’000 千港元 千港元 千港元 千港元 千港元 Additions to property, plant 物業、廠房及設備 and equipment 添置 – 96 – – 96</t>
        </is>
      </c>
    </row>
    <row r="136">
      <c r="A136" s="9" t="inlineStr">
        <is>
          <t>Segment Information</t>
        </is>
      </c>
      <c r="B136" s="9" t="inlineStr">
        <is>
          <t>分部資料</t>
        </is>
      </c>
      <c r="C136" s="9" t="inlineStr">
        <is>
          <t>medium</t>
        </is>
      </c>
      <c r="D136" s="12" t="inlineStr">
        <is>
          <t>operating segment</t>
        </is>
      </c>
      <c r="E136" s="12" t="inlineStr">
        <is>
          <t>PDF p.209 (印刷頁 208)</t>
        </is>
      </c>
      <c r="F136" s="12" t="inlineStr">
        <is>
          <t>Hunlicar Group Limited 亨利加集團有限公司 Annual Report 年報 2026 NOTES TO THE CONSOLIDATED FINANCIAL STATEMENTS 合併財務報表附註 6 OPERATING SEGMENTS 6 經營分部（續） (Continued) Segment assets and liabilities (Continued) 分部資產及負債（續） Geographical information 地區資料 The Group’s operations are located in Hong Kong and the 本集團的業務營運位於香港及中華人民 People’s Republic of China (“PRC”). 共和國（「中國」）。 Information about the Group’s revenue from external 有關本集團來自外部客戶的收入資料乃 customers is presented based on the location of the operations. 按經營所在地呈列。本集團之非流動資產 I</t>
        </is>
      </c>
    </row>
    <row r="137">
      <c r="A137" s="9" t="inlineStr">
        <is>
          <t>Segment Information</t>
        </is>
      </c>
      <c r="B137" s="9" t="inlineStr">
        <is>
          <t>分部資料</t>
        </is>
      </c>
      <c r="C137" s="9" t="inlineStr">
        <is>
          <t>medium</t>
        </is>
      </c>
      <c r="D137" s="12" t="inlineStr">
        <is>
          <t>operating segment</t>
        </is>
      </c>
      <c r="E137" s="12" t="inlineStr">
        <is>
          <t>PDF p.210 (印刷頁 209)</t>
        </is>
      </c>
      <c r="F137" s="12" t="inlineStr">
        <is>
          <t>Annual Report 年報 2026 Hunlicar Group Limited 亨利加集團有限公司 NOTES TO THE CONSOLIDATED FINANCIAL STATEMENTS 合併財務報表附註 6 OPERATING SEGMENTS 6 經營分部（續） (Continued) Segment assets and liabilities (Continued) 分部資產及負債（續） Information about major customers 主要客戶資料 Revenue from the top five customers for all reportable 來自所有可呈報分部五大客戶的收入如 segments is as follows: 下： Year ended 31 March 截至三月三十一日止年度 2026 2025 二零二六年 二零二五年 HK$’000 HK$’000 千港元 千港元 Revenue from top five customers 來自五大客戶的收入 59,296 179,212 Total revenue 總收入 228,827 238</t>
        </is>
      </c>
    </row>
    <row r="138">
      <c r="A138" s="9" t="inlineStr">
        <is>
          <t>Segment Information</t>
        </is>
      </c>
      <c r="B138" s="9" t="inlineStr">
        <is>
          <t>分部資料</t>
        </is>
      </c>
      <c r="C138" s="9" t="inlineStr">
        <is>
          <t>medium</t>
        </is>
      </c>
      <c r="D138" s="12" t="inlineStr">
        <is>
          <t>operating segment</t>
        </is>
      </c>
      <c r="E138" s="12" t="inlineStr">
        <is>
          <t>PDF p.224 (印刷頁 223)</t>
        </is>
      </c>
      <c r="F138" s="12" t="inlineStr">
        <is>
          <t>erm industry average growth rate. 相關營運分部有關的特定風險。於 The discount rates reflect specific risks relating to the 二零二六年三月三十一日，食品貿 relevant operating segments. As at 31 March 2026, the 易二零二五年現金產生單位的估計 estimated recoverable amounts of the Food Trading 2025 可收回金額超過其賬面值，而董事 CGU exceeded its carrying value and the directors are of 認為商譽於二零二六年三月三十一 the opinion that there was no impairment of goodwill as 日毋須減值。 at 31 March 2026. 223</t>
        </is>
      </c>
    </row>
    <row r="139">
      <c r="A139" s="9" t="inlineStr">
        <is>
          <t>Segment Information</t>
        </is>
      </c>
      <c r="B139" s="9" t="inlineStr">
        <is>
          <t>分部資料</t>
        </is>
      </c>
      <c r="C139" s="9" t="inlineStr">
        <is>
          <t>medium</t>
        </is>
      </c>
      <c r="D139" s="12" t="inlineStr">
        <is>
          <t>operating segment</t>
        </is>
      </c>
      <c r="E139" s="12" t="inlineStr">
        <is>
          <t>PDF p.226 (印刷頁 225)</t>
        </is>
      </c>
      <c r="F139" s="12" t="inlineStr">
        <is>
          <t>erm industry average growth rate. 相關營運分部有關的特定風險。於 The discount rates reflect specific risks relating to the 二零二六年三月三十一日，家族辦 relevant operating segments. As at 31 March 2026, the 公室二零二六年現金產生單位的估 estimated recoverable amounts of the Family Office 2026 計可收回金額超過其賬面值，而董 CGU exceeded its carrying value and the directors are of 事認為商譽於二零二六年三月 the opinion that there was no impairment of goodwill as 三十一日毋須減值。 at 31 March 2026. Management believes that any reasonable possible 管理層相信，上述任何假設的任何 change in any of the above assumptions would no</t>
        </is>
      </c>
    </row>
    <row r="140">
      <c r="A140" s="9" t="inlineStr">
        <is>
          <t>Share-based Payment</t>
        </is>
      </c>
      <c r="B140" s="9" t="inlineStr">
        <is>
          <t>以股份為基礎的付款</t>
        </is>
      </c>
      <c r="C140" s="9" t="inlineStr">
        <is>
          <t>medium</t>
        </is>
      </c>
      <c r="D140" s="12" t="inlineStr">
        <is>
          <t>share option</t>
        </is>
      </c>
      <c r="E140" s="12" t="inlineStr">
        <is>
          <t>PDF p.65 (印刷頁 64)</t>
        </is>
      </c>
      <c r="F140" s="12" t="inlineStr">
        <is>
          <t>rs a comprehensive remuneration and benefits package to all its 員提供全面的薪酬及福利待遇。此外，本集團 employees. In addition, the Group has adopted a share option 已採納購股權計劃及股份獎勵計劃，為對本集 scheme and a share award scheme for providing incentives and 團業務成就作出貢獻之合資格人士提供獎勵及 rewards to eligible persons who contribute to the success of the 回報。本集團亦已採納其他僱員福利計劃，包 Group’s operations. The Group has also adopted other employee 括根據強制性公積金計劃條例（第485章）規定 benefits including a provident fund scheme for its employees in Hong 為香港僱員繳交公積金，並於中國根據相關地 Kong, as required under</t>
        </is>
      </c>
    </row>
    <row r="141">
      <c r="A141" s="9" t="inlineStr">
        <is>
          <t>Share-based Payment</t>
        </is>
      </c>
      <c r="B141" s="9" t="inlineStr">
        <is>
          <t>以股份為基礎的付款</t>
        </is>
      </c>
      <c r="C141" s="9" t="inlineStr">
        <is>
          <t>medium</t>
        </is>
      </c>
      <c r="D141" s="12" t="inlineStr">
        <is>
          <t>share option</t>
        </is>
      </c>
      <c r="E141" s="12" t="inlineStr">
        <is>
          <t>PDF p.68 (印刷頁 67)</t>
        </is>
      </c>
      <c r="F141" s="12" t="inlineStr">
        <is>
          <t>務報 Current Year are set out in Note 28 to the consolidated financial 表附註28。 statements. EQUITY-LINKED AGREEMENTS 股票掛鈎協議 Save for the Share Option Scheme as disclosed under the section 除下文「購股權計劃」一節項下所披露之購股權 headed “Share Option Scheme” below and the Share Award Scheme 計劃及下文「股份獎勵計劃」一節項下所披露之 as disclosed under the section headed “Share Award Scheme” 股份獎勵計劃外，於本年度，本公司於本年度 below, during the Current Year, no equity-linked agreement was 末概無訂立或仍然存續任何股票掛鈎協議。 entered into by the Company or subsisted at the end of the Current Year. PERMITT</t>
        </is>
      </c>
    </row>
    <row r="142">
      <c r="A142" s="9" t="inlineStr">
        <is>
          <t>Share-based Payment</t>
        </is>
      </c>
      <c r="B142" s="9" t="inlineStr">
        <is>
          <t>以股份為基礎的付款</t>
        </is>
      </c>
      <c r="C142" s="9" t="inlineStr">
        <is>
          <t>medium</t>
        </is>
      </c>
      <c r="D142" s="12" t="inlineStr">
        <is>
          <t>share option</t>
        </is>
      </c>
      <c r="E142" s="12" t="inlineStr">
        <is>
          <t>PDF p.76 (印刷頁 75)</t>
        </is>
      </c>
      <c r="F142" s="12" t="inlineStr">
        <is>
          <t>Annual Report 年報 2026 Hunlicar Group Limited 亨利加集團有限公司 REPORT OF THE DIRECTORS 董事會報告 SHARE OPTION SCHEME 購股權計劃 On 28 September 2023, the Company adopted a share option 於二零二三年九月二十八日，本公司採納一項 scheme (the “Share Option Scheme”) and the major terms of the 購股權計劃（「購股權計劃」）及購股權計劃的主 Share Option Scheme are summarised as follows: 要條款概述如下： A. Purpose of the Share Option Scheme A. 購股權計劃之目的 The purpose of the Share Option Scheme is to recognise the 購股權計劃旨在確認合資格人士（「合資 contribution or future cont</t>
        </is>
      </c>
    </row>
    <row r="143">
      <c r="A143" s="9" t="inlineStr">
        <is>
          <t>Share-based Payment</t>
        </is>
      </c>
      <c r="B143" s="9" t="inlineStr">
        <is>
          <t>以股份為基礎的付款</t>
        </is>
      </c>
      <c r="C143" s="9" t="inlineStr">
        <is>
          <t>medium</t>
        </is>
      </c>
      <c r="D143" s="12" t="inlineStr">
        <is>
          <t>share option</t>
        </is>
      </c>
      <c r="E143" s="12" t="inlineStr">
        <is>
          <t>PDF p.77 (印刷頁 76)</t>
        </is>
      </c>
      <c r="F143" s="12" t="inlineStr">
        <is>
          <t>ement of each Eligible Person D. 每名合資格人士的權利上限 Unless approved by the shareholders in the manner as set out 除股東以購股權計劃所載方式批准外，於 in the Share Option Scheme, the total number of Shares issued 任何12個月期間（直至及包括授出日期）， and to be issued in respect of all options and awards granted 根據購股權計劃以及涉及發行新股的任 under the Share Option Scheme and any other schemes 何其他計劃已向每名合資格人士授出的 involving issue of new Shares of the Company to each Eligible 所有購股權及獎勵（不包括根據購股權計 Person (excluding any options and awards lapsed in accordance 劃以及涉及發行本公司新股的任何其他 with the term</t>
        </is>
      </c>
    </row>
    <row r="144">
      <c r="A144" s="9" t="inlineStr">
        <is>
          <t>Share-based Payment</t>
        </is>
      </c>
      <c r="B144" s="9" t="inlineStr">
        <is>
          <t>以股份為基礎的付款</t>
        </is>
      </c>
      <c r="C144" s="9" t="inlineStr">
        <is>
          <t>medium</t>
        </is>
      </c>
      <c r="D144" s="12" t="inlineStr">
        <is>
          <t>share option</t>
        </is>
      </c>
      <c r="E144" s="12" t="inlineStr">
        <is>
          <t>PDF p.78 (印刷頁 77)</t>
        </is>
      </c>
      <c r="F144" s="12" t="inlineStr">
        <is>
          <t>得視為已支付行使價 refundable to the participant and shall not be deemed to be a 之一部分。 part payment of the exercise price. H. Duration of the Share Option Scheme H. 購股權計劃之有效期 The Share Option Scheme is valid and effective for a period of 購股權計劃自二零二三年九月二十八日 10 years commencing on 28 September 2023. The Company 起計十年期間內有效及生效。本公司可隨 may terminate the operation of the Share Option Scheme at 時於股東大會上以決議案終止購股權計 any time by a resolution at the general meeting and in such 劃運作，而在該情況下將不得根據購股權 event, no further option shall be offered thereunder but t</t>
        </is>
      </c>
    </row>
    <row r="145">
      <c r="A145" s="9" t="inlineStr">
        <is>
          <t>Share-based Payment</t>
        </is>
      </c>
      <c r="B145" s="9" t="inlineStr">
        <is>
          <t>以股份為基礎的付款</t>
        </is>
      </c>
      <c r="C145" s="9" t="inlineStr">
        <is>
          <t>medium</t>
        </is>
      </c>
      <c r="D145" s="12" t="inlineStr">
        <is>
          <t>購股權</t>
        </is>
      </c>
      <c r="E145" s="12" t="inlineStr">
        <is>
          <t>PDF p.80 (印刷頁 79)</t>
        </is>
      </c>
      <c r="F145" s="12" t="inlineStr">
        <is>
          <t>hare Award Scheme and the Trust Deed. E. Vesting Period E. 歸屬期 The vesting period in respect of any Options granted to any 授予任何參與者的任何購股權的歸屬期 Participant shall be determined by the Board at its discretion 由董事會酌情釐定，且不得短於12個月。 and shall not be shorter than 12 months. F. Alteration of the Share Award Scheme F. 股份獎勵計劃之修訂 The Share Award Scheme may be amended by a resolution of 股份獎勵計劃可透過董事會的決議案予 the Board provided that no such amendment shall operate to 以修訂，惟進行的有關修訂不得對股份獎 affect materially and adversely any subsisting rights of any 勵</t>
        </is>
      </c>
    </row>
    <row r="146">
      <c r="A146" s="9" t="inlineStr">
        <is>
          <t>Share-based Payment</t>
        </is>
      </c>
      <c r="B146" s="9" t="inlineStr">
        <is>
          <t>以股份為基礎的付款</t>
        </is>
      </c>
      <c r="C146" s="9" t="inlineStr">
        <is>
          <t>medium</t>
        </is>
      </c>
      <c r="D146" s="12" t="inlineStr">
        <is>
          <t>share option</t>
        </is>
      </c>
      <c r="E146" s="12" t="inlineStr">
        <is>
          <t>PDF p.81 (印刷頁 80)</t>
        </is>
      </c>
      <c r="F146" s="12" t="inlineStr">
        <is>
          <t>re held by the 三月三十一日，本公司的356,200股股份 Trustee. 由受託人持有。 DIRECTORS’ RIGHTS TO ACQUIRE SHARES OR 董事購買股份或債權證的權利 DEBENTURES Apart from the share option scheme adopted on 28 September 除於二零二三年九月二十八日採納的購股權計 2023, at no time during the Current Year was the Company or any 劃外，於本年度內任何時間本公司或其任何附 of its subsidiaries, holding companies or fellow subsidiaries a party to 屬公司、控股公司或同系附屬公司並無參與任 any arrangement to enable the Directors or the chief executives of 何安排以便董事或本公司最高行政人員得以透 the Company to acquire benefits by means of the acquisition of 過購入本公</t>
        </is>
      </c>
    </row>
    <row r="147">
      <c r="A147" s="9" t="inlineStr">
        <is>
          <t>Share-based Payment</t>
        </is>
      </c>
      <c r="B147" s="9" t="inlineStr">
        <is>
          <t>以股份為基礎的付款</t>
        </is>
      </c>
      <c r="C147" s="9" t="inlineStr">
        <is>
          <t>medium</t>
        </is>
      </c>
      <c r="D147" s="12" t="inlineStr">
        <is>
          <t>share-based payment</t>
        </is>
      </c>
      <c r="E147" s="12" t="inlineStr">
        <is>
          <t>PDF p.134 (印刷頁 133)</t>
        </is>
      </c>
      <c r="F147" s="12" t="inlineStr">
        <is>
          <t>losure purposes in these 平值乃按此基準釐定，惟屬於香港 consolidated financial statements is determined on such 財務報告準則第2號以股份為基礎 a basis, except for share-based payment transactions that 的付款（「香港財務報告準則第2號」） are within the scope of HKFRS 2 Share-based Payment 範圍內的以股份為基礎付款的交 (“HKFRS 2”), leasing transactions that are accounted for 易、根據香港財務報告準則第16號 in accordance with HKFRS 16 Leases (“HKFRS 16”), and 租賃（「香港財務報告準則第16號」） measurements that have some similarities to fair value 入賬的租賃交易以及與公平值類似 but are not fair value, such as net realisable value in 但並非</t>
        </is>
      </c>
    </row>
    <row r="148">
      <c r="A148" s="9" t="inlineStr">
        <is>
          <t>Share-based Payment</t>
        </is>
      </c>
      <c r="B148" s="9" t="inlineStr">
        <is>
          <t>以股份為基礎的付款</t>
        </is>
      </c>
      <c r="C148" s="9" t="inlineStr">
        <is>
          <t>medium</t>
        </is>
      </c>
      <c r="D148" s="12" t="inlineStr">
        <is>
          <t>share-based payment</t>
        </is>
      </c>
      <c r="E148" s="12" t="inlineStr">
        <is>
          <t>PDF p.140 (印刷頁 139)</t>
        </is>
      </c>
      <c r="F148" s="12" t="inlineStr">
        <is>
          <t>續） • liabilities or equity instruments related to share- • 與被收購方之以股份為基礎的 based payment arrangements of the acquiree or 付款安排或本集團所訂立以股 share-based payment arrangements of the Group 份為基礎的付款安排取代被收 entered into to replace share-based payment 購方之以股份為基礎的付款安 arrangements of the acquiree are measured in 排有關之負債或權益工具於收 accordance with HKFRS 2 Share-based Payment at 購日期根據香港財務報告準則 the acquisition date; 第2號以股份為基礎的付款計 量； • assets (or disposal groups) that are classified as held • 根據香港財務報告準則第5號 for sale in accordance with HKFRS 5 Non-current 持</t>
        </is>
      </c>
    </row>
    <row r="149">
      <c r="A149" s="9" t="inlineStr">
        <is>
          <t>Share-based Payment</t>
        </is>
      </c>
      <c r="B149" s="9" t="inlineStr">
        <is>
          <t>以股份為基礎的付款</t>
        </is>
      </c>
      <c r="C149" s="9" t="inlineStr">
        <is>
          <t>medium</t>
        </is>
      </c>
      <c r="D149" s="12" t="inlineStr">
        <is>
          <t>share-based payment</t>
        </is>
      </c>
      <c r="E149" s="12" t="inlineStr">
        <is>
          <t>PDF p.158 (印刷頁 157)</t>
        </is>
      </c>
      <c r="F149" s="12" t="inlineStr">
        <is>
          <t>PARATION OF CONSOLIDATED 3 編製合併財務報表的基準及重 FINANCIAL STATEMENTS AND MATERIAL 大會計政策資料（續） ACCOUNTING POLICY INFORMATION (Continued) 3.11 Share-based payments 3.11 以股份為基礎的付款 (a) Equity-settled share-based payment (a) 以股權結算以股份為基礎 transactions 的付款交易 The Group operates a share-based compensation 本集團實行以股份為基礎之報 plan, under which the Group receives services from 酬計劃，在該計劃下，本集團 employees as consideration for equity instruments 獲取僱員提供的服務作為本集 (options or awarded shares) of the Group. The fair 團股本工具（購股權或獎勵股 value of the employee services recei</t>
        </is>
      </c>
    </row>
    <row r="150">
      <c r="A150" s="9" t="inlineStr">
        <is>
          <t>Share-based Payment</t>
        </is>
      </c>
      <c r="B150" s="9" t="inlineStr">
        <is>
          <t>以股份為基礎的付款</t>
        </is>
      </c>
      <c r="C150" s="9" t="inlineStr">
        <is>
          <t>medium</t>
        </is>
      </c>
      <c r="D150" s="12" t="inlineStr">
        <is>
          <t>share-based payment</t>
        </is>
      </c>
      <c r="E150" s="12" t="inlineStr">
        <is>
          <t>PDF p.159 (印刷頁 158)</t>
        </is>
      </c>
      <c r="F150" s="12" t="inlineStr">
        <is>
          <t>PARATION OF CONSOLIDATED 3 編製合併財務報表的基準及重 FINANCIAL STATEMENTS AND MATERIAL 大會計政策資料（續） ACCOUNTING POLICY INFORMATION (Continued) 3.11 Share-based payments (Continued) 3.11 以股份為基礎的付款（續） (a) Equity-settled share-based payment (a) 以股權結算以股份為基礎 transactions (Continued) 的付款交易（續） When the options are exercised, the Company 在購股權行使時，本公司發行 issues new shares. The proceeds received, net of 新股份，收取的所得款項扣除 any directly attributable transaction costs, are 任何直接歸屬交易成本撥入股 credited to share capital (nominal value) and share 本（面值）和股本溢價。 premium. Aft</t>
        </is>
      </c>
    </row>
    <row r="151">
      <c r="A151" s="9" t="inlineStr">
        <is>
          <t>Share-based Payment</t>
        </is>
      </c>
      <c r="B151" s="9" t="inlineStr">
        <is>
          <t>以股份為基礎的付款</t>
        </is>
      </c>
      <c r="C151" s="9" t="inlineStr">
        <is>
          <t>medium</t>
        </is>
      </c>
      <c r="D151" s="12" t="inlineStr">
        <is>
          <t>share-based payment</t>
        </is>
      </c>
      <c r="E151" s="12" t="inlineStr">
        <is>
          <t>PDF p.160 (印刷頁 159)</t>
        </is>
      </c>
      <c r="F151" s="12" t="inlineStr">
        <is>
          <t>PARATION OF CONSOLIDATED 3 編製合併財務報表的基準及重 FINANCIAL STATEMENTS AND MATERIAL 大會計政策資料（續） ACCOUNTING POLICY INFORMATION (Continued) 3.11 Share-based payments (Continued) 3.11 以股份為基礎的付款（續） (b) Share-based payment transactions among (b) 集團內實體間以股份為基 group entities 礎的付款交易 The grant of options by the Company over its 本公司向為本集團工作的附屬 equity instruments to the employees of subsidiaries 公司僱員所授出其股本工具之 undertakings in the Group is treated as a capital 購股權被視為注資。所獲得僱 contribution. The fair value of employee services 員服務的公平值乃參考授出日 received, measu</t>
        </is>
      </c>
    </row>
    <row r="152">
      <c r="A152" s="9" t="inlineStr">
        <is>
          <t>Share-based Payment</t>
        </is>
      </c>
      <c r="B152" s="9" t="inlineStr">
        <is>
          <t>以股份為基礎的付款</t>
        </is>
      </c>
      <c r="C152" s="9" t="inlineStr">
        <is>
          <t>medium</t>
        </is>
      </c>
      <c r="D152" s="12" t="inlineStr">
        <is>
          <t>share-based payment</t>
        </is>
      </c>
      <c r="E152" s="12" t="inlineStr">
        <is>
          <t>PDF p.190 (印刷頁 189)</t>
        </is>
      </c>
      <c r="F152" s="12" t="inlineStr">
        <is>
          <t>mpany purchases the Company’s 倘任何集團公司購買本公司的股本 equity instruments, for example as the result of a share 工具，例如由於股份回購或以股份 buy-back or a share-based payment plan, the 為基礎的付款計劃，則支付的代 consideration paid, including any directly attributable 價，包括任何直接應佔增量成本（扣 incremental costs (net of income taxes) is deducted from 除所得稅）將從本公司擁有人應佔 equity attributable to the owners of the Company as 權益中以庫存股份的形式扣除，直 treasury shares until the shares are cancelled or reissued. 至股份被註銷或重新發行為止。若 Where such ordinary shares are subsequently reissued, 該等普通股其後重新發行</t>
        </is>
      </c>
    </row>
    <row r="153">
      <c r="A153" s="9" t="inlineStr">
        <is>
          <t>Share-based Payment</t>
        </is>
      </c>
      <c r="B153" s="9" t="inlineStr">
        <is>
          <t>以股份為基礎的付款</t>
        </is>
      </c>
      <c r="C153" s="9" t="inlineStr">
        <is>
          <t>medium</t>
        </is>
      </c>
      <c r="D153" s="12" t="inlineStr">
        <is>
          <t>share-based payment</t>
        </is>
      </c>
      <c r="E153" s="12" t="inlineStr">
        <is>
          <t>PDF p.250 (印刷頁 249)</t>
        </is>
      </c>
      <c r="F153" s="12" t="inlineStr">
        <is>
          <t>As at the date of this report, the number of issued shares of the Company 於本報告日期，本公司的已發行股份數目為 is 77,146,775 shares. 77,146,775股。 29 SHARE-BASED PAYMENTS 29 以股份為基礎的付款 Share award scheme 股份獎勵計劃 On 14 March 2019, the Company adopted the share award 於二零一九年三月十四日，本公司已採納 scheme (the “Share Award Scheme”) under which shares of 股份獎勵計劃（「股份獎勵計劃」），據此 the Company (the “Awarded Shares”) may be awarded to 獲選僱員（包括董事）及本集團非執行董 selected employees (including directors) and non-executive 事（「獲選人士」）可根據股份獎勵計劃條 directors of the Group (the “Selected Pe</t>
        </is>
      </c>
    </row>
    <row r="154">
      <c r="A154" s="9" t="inlineStr">
        <is>
          <t>Share-based Payment</t>
        </is>
      </c>
      <c r="B154" s="9" t="inlineStr">
        <is>
          <t>以股份為基礎的付款</t>
        </is>
      </c>
      <c r="C154" s="9" t="inlineStr">
        <is>
          <t>medium</t>
        </is>
      </c>
      <c r="D154" s="12" t="inlineStr">
        <is>
          <t>share-based payment</t>
        </is>
      </c>
      <c r="E154" s="12" t="inlineStr">
        <is>
          <t>PDF p.251 (印刷頁 250)</t>
        </is>
      </c>
      <c r="F154" s="12" t="inlineStr">
        <is>
          <t>Hunlicar Group Limited 亨利加集團有限公司 Annual Report 年報 2026 NOTES TO THE CONSOLIDATED FINANCIAL STATEMENTS 合併財務報表附註 29 SHARE-BASED PAYMENTS 29 以股份為基礎的付款（續） (Continued) Share award scheme (Continued) 股份獎勵計劃（續） The Board of Directors may contribute funds to the trust 董事會可向信託契據構成的信託（「信託」） constituted by the Trust Deed (the “Trust”) for the purchase or 出資，用於購買或認購本公司股份及股份 subscription of shares of the Company and other purposes set 獎勵計劃和信託契據所載的其他目的。受 out in the Share Award Scheme and the Trust Deed. The 託人須根據信託契據的條款持有信</t>
        </is>
      </c>
    </row>
    <row r="155">
      <c r="A155" s="9" t="inlineStr">
        <is>
          <t>Related Party Transactions</t>
        </is>
      </c>
      <c r="B155" s="9" t="inlineStr">
        <is>
          <t>關聯方交易</t>
        </is>
      </c>
      <c r="C155" s="9" t="inlineStr">
        <is>
          <t>low</t>
        </is>
      </c>
      <c r="D155" s="12" t="inlineStr">
        <is>
          <t>connected transaction</t>
        </is>
      </c>
      <c r="E155" s="12" t="inlineStr">
        <is>
          <t>PDF p.83 (印刷頁 82)</t>
        </is>
      </c>
      <c r="F155" s="12" t="inlineStr">
        <is>
          <t>dealings and its code of conduct regarding 守標準及其操守守則規定之情況。 securities transactions by Directors during the year ended 31 March 2026. CONNECTED TRANSACTIONS 關連交易 Details of the connected party transactions undertaken in the usual 於日常業務過程中進行的關連人士交易詳情載 course of business are set out in Note 43 to the consolidated financial 於合併財務報表附註43。由於該等關連人士交 statements. As these connected party transactions constitute fully 易根據上市規則第14A章構成本公司獲全面豁 exempted continuing connected transactions of the Company under 免的持續關連交易，故獲豁免遵守上市規則第 Chapter 14A of</t>
        </is>
      </c>
    </row>
    <row r="156">
      <c r="A156" s="9" t="inlineStr">
        <is>
          <t>Related Party Transactions</t>
        </is>
      </c>
      <c r="B156" s="9" t="inlineStr">
        <is>
          <t>關聯方交易</t>
        </is>
      </c>
      <c r="C156" s="9" t="inlineStr">
        <is>
          <t>low</t>
        </is>
      </c>
      <c r="D156" s="12" t="inlineStr">
        <is>
          <t>關聯方</t>
        </is>
      </c>
      <c r="E156" s="12" t="inlineStr">
        <is>
          <t>PDF p.191 (印刷頁 190)</t>
        </is>
      </c>
      <c r="F156" s="12" t="inlineStr">
        <is>
          <t>TED 3 編製合併財務報表的基準及重 FINANCIAL STATEMENTS AND MATERIAL 大會計政策資料（續） ACCOUNTING POLICY INFORMATION (Continued) 3.25 Related parties 3.25 關聯方 A party is considered to be related to the Group if: 以下人士被視為與本集團有關聯： (a) the party is a person or a close member of that (a) 該方為以下各項人士或以下各 person’s family and that person 項人士的近親，而該人士 (i) has control or joint control over the Group; (i) 控制或共同控制本集 團； (ii) has significant influence over the Group; or (ii) 對本集團有重大影響 力；或 (iii) is a member of the key management (iii) 為本集團或本集團母公 personnel of the Grou</t>
        </is>
      </c>
    </row>
    <row r="157">
      <c r="A157" s="9" t="inlineStr">
        <is>
          <t>Related Party Transactions</t>
        </is>
      </c>
      <c r="B157" s="9" t="inlineStr">
        <is>
          <t>關聯方交易</t>
        </is>
      </c>
      <c r="C157" s="9" t="inlineStr">
        <is>
          <t>low</t>
        </is>
      </c>
      <c r="D157" s="12" t="inlineStr">
        <is>
          <t>關聯方</t>
        </is>
      </c>
      <c r="E157" s="12" t="inlineStr">
        <is>
          <t>PDF p.192 (印刷頁 191)</t>
        </is>
      </c>
      <c r="F157" s="12" t="inlineStr">
        <is>
          <t>報表的基準及重 FINANCIAL STATEMENTS AND MATERIAL 大會計政策資料（續） ACCOUNTING POLICY INFORMATION (Continued) 3.25 Related parties (Continued) 3.25 關聯方（續） (b) the party is an entity where any of the following (b) 該方為適用於以下任何一項條 conditions applies: (Continued) 件的實體：（續） (v) The entity is a post-employment benefit plan (v) 實體為本集團或與本集 for the benefit of the employees of the Group 團相關實體的僱員福利 or an entity related to the Group. 而設的退休後福利計劃。 (vi) The entity is controlled or jointly controlled by (vi) 受(a)段所述人士控制或 a person identified in (a). 共同控制的實體。 (v</t>
        </is>
      </c>
    </row>
    <row r="158">
      <c r="A158" s="9" t="inlineStr">
        <is>
          <t>Related Party Transactions</t>
        </is>
      </c>
      <c r="B158" s="9" t="inlineStr">
        <is>
          <t>關聯方交易</t>
        </is>
      </c>
      <c r="C158" s="9" t="inlineStr">
        <is>
          <t>low</t>
        </is>
      </c>
      <c r="D158" s="12" t="inlineStr">
        <is>
          <t>related party</t>
        </is>
      </c>
      <c r="E158" s="12" t="inlineStr">
        <is>
          <t>PDF p.306 (印刷頁 305)</t>
        </is>
      </c>
      <c r="F158" s="12" t="inlineStr">
        <is>
          <t>Annual Report 年報 2026 Hunlicar Group Limited 亨利加集團有限公司 NOTES TO THE CONSOLIDATED FINANCIAL STATEMENTS 合併財務報表附註 43 MATERIAL RELATED PARTY TRANSACTIONS 43 重大關聯方交易 (a) Transactions with other related parties (a) 與其他關聯方進行之交易 Save as disclosed in Note 43(c), during the years ended 除附註43(c)所披露者外，截至二零 31 March 2026 and 2025, no material transactions were 二六年及二零二五年三月三十一日 undertaken by the Group with related parties. 止年度，本集團並無與關聯方進行 任何重大交易。 (b) Outstanding balances with related parties (b) 與關聯方的未清結餘 As at 31 March 2026 and 202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1"/>
  <sheetViews>
    <sheetView workbookViewId="0">
      <pane ySplit="20" topLeftCell="A21"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8" t="inlineStr">
        <is>
          <t>報表 Statement</t>
        </is>
      </c>
      <c r="B7" s="8" t="inlineStr">
        <is>
          <t>未擷取科目 Missing item</t>
        </is>
      </c>
    </row>
    <row r="8">
      <c r="A8" s="9" t="inlineStr">
        <is>
          <t>Income Statement</t>
        </is>
      </c>
      <c r="B8" s="9" t="inlineStr">
        <is>
          <t>R&amp;D Expenses</t>
        </is>
      </c>
    </row>
    <row r="9">
      <c r="A9" s="9" t="inlineStr">
        <is>
          <t>Income Statement</t>
        </is>
      </c>
      <c r="B9" s="9" t="inlineStr">
        <is>
          <t>Depreciation</t>
        </is>
      </c>
    </row>
    <row r="10">
      <c r="A10" s="9" t="inlineStr">
        <is>
          <t>Income Statement</t>
        </is>
      </c>
      <c r="B10" s="9" t="inlineStr">
        <is>
          <t>Amortisation</t>
        </is>
      </c>
    </row>
    <row r="11">
      <c r="A11" s="9" t="inlineStr">
        <is>
          <t>Balance Sheet</t>
        </is>
      </c>
      <c r="B11" s="9" t="inlineStr">
        <is>
          <t>Trade Receivables</t>
        </is>
      </c>
    </row>
    <row r="12">
      <c r="A12" s="9" t="inlineStr">
        <is>
          <t>Balance Sheet</t>
        </is>
      </c>
      <c r="B12" s="9" t="inlineStr">
        <is>
          <t>Goodwill</t>
        </is>
      </c>
    </row>
    <row r="13">
      <c r="A13" s="9" t="inlineStr">
        <is>
          <t>Cash Flow</t>
        </is>
      </c>
      <c r="B13" s="9" t="inlineStr">
        <is>
          <t>Investing Cash Flow</t>
        </is>
      </c>
    </row>
    <row r="14">
      <c r="A14" s="9" t="inlineStr">
        <is>
          <t>Cash Flow</t>
        </is>
      </c>
      <c r="B14" s="9" t="inlineStr">
        <is>
          <t>Capital Expenditure</t>
        </is>
      </c>
    </row>
    <row r="17">
      <c r="A17" s="5" t="inlineStr">
        <is>
          <t>二、文字量過低的頁面(疑似掃描頁)</t>
        </is>
      </c>
    </row>
    <row r="18">
      <c r="A18" s="2" t="inlineStr">
        <is>
          <t>這些頁面幾乎抓不到文字,通常是掃描件或純圖表,建議人手翻閱或另行 OCR。</t>
        </is>
      </c>
    </row>
    <row r="20">
      <c r="A20" s="8" t="inlineStr">
        <is>
          <t>PDF 頁碼</t>
        </is>
      </c>
      <c r="B20" s="8" t="inlineStr">
        <is>
          <t>狀態</t>
        </is>
      </c>
    </row>
    <row r="21">
      <c r="A21" s="9" t="n">
        <v>314</v>
      </c>
      <c r="B21" s="9"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2026-08-30T14:15:59Z</dcterms:created>
  <dcterms:modified xsi:type="dcterms:W3CDTF">2026-08-30T14:15:59Z</dcterms:modified>
</cp:coreProperties>
</file>